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Checklist" sheetId="2" state="visible" r:id="rId4"/>
    <sheet name="Rooms by flat type" sheetId="3" state="visible" r:id="rId5"/>
    <sheet name="Teams" sheetId="4" state="visible" r:id="rId6"/>
    <sheet name="Severity" sheetId="5" state="visible" r:id="rId7"/>
    <sheet name="Handover" sheetId="6" state="visible" r:id="rId8"/>
    <sheet name="Apartment list" sheetId="7" state="visible" r:id="rId9"/>
  </sheets>
  <definedNames>
    <definedName function="false" hidden="true" localSheetId="1" name="_xlnm._FilterDatabase" vbProcedure="false">Checklist!$A$4:$G$150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<sst xmlns="http://schemas.openxmlformats.org/spreadsheetml/2006/main" count="1360" uniqueCount="602">
  <si>
    <t xml:space="preserve">KVD Windpark: flat snagging checklist</t>
  </si>
  <si>
    <t xml:space="preserve">RCC framed towers, plaster and paint, aluminium / uPVC windows, wooden internal doors. Phase 1: towers T1, T2, T3, T6, T7 (T4, T5 are Phase 2). 24 floors, 2BHK and 3BHK.</t>
  </si>
  <si>
    <t xml:space="preserve">Checklist</t>
  </si>
  <si>
    <t xml:space="preserve">Every check item. One row per item, grouped by building element (ceiling, walls, floor, doors, windows, services). ID is what the app stores.</t>
  </si>
  <si>
    <t xml:space="preserve">Rooms by flat type</t>
  </si>
  <si>
    <t xml:space="preserve">Which rooms each flat type has and which element groups apply to each room. Check counts are live formulas.</t>
  </si>
  <si>
    <t xml:space="preserve">Teams</t>
  </si>
  <si>
    <t xml:space="preserve">Default responsible team for each item. Edit team names here and in the app's Setup screen.</t>
  </si>
  <si>
    <t xml:space="preserve">Severity</t>
  </si>
  <si>
    <t xml:space="preserve">What Critical, Major and Minor mean and target fix times.</t>
  </si>
  <si>
    <t xml:space="preserve">Handover</t>
  </si>
  <si>
    <t xml:space="preserve">Items recorded at handover: gate conditions, meter readings, keys, documents, demonstrations.</t>
  </si>
  <si>
    <t xml:space="preserve">Apartment list</t>
  </si>
  <si>
    <t xml:space="preserve">Fill this in (yellow cells) and paste into the app's Setup screen to load the actual flats. Row 5 is an example.</t>
  </si>
  <si>
    <t xml:space="preserve">Criteria</t>
  </si>
  <si>
    <t xml:space="preserve">Tolerances marked 'as per spec' or 'typically' are working defaults. Replace them with the figures in the KVD contract specifications before issue.</t>
  </si>
  <si>
    <t xml:space="preserve">Workflow</t>
  </si>
  <si>
    <t xml:space="preserve">Open (raised by QC, assigned to team) &gt; Fixed (team marks done with photo) &gt; Closed (QC verifies). QC can reopen. Handover is allowed only when no Critical or Major snag is open.</t>
  </si>
  <si>
    <t xml:space="preserve">Checklist master</t>
  </si>
  <si>
    <t xml:space="preserve">146 check items. Applies per room as mapped on 'Rooms by flat type'.</t>
  </si>
  <si>
    <t xml:space="preserve">ID</t>
  </si>
  <si>
    <t xml:space="preserve">Element group</t>
  </si>
  <si>
    <t xml:space="preserve">Check</t>
  </si>
  <si>
    <t xml:space="preserve">Acceptance criterion / method</t>
  </si>
  <si>
    <t xml:space="preserve">Default team</t>
  </si>
  <si>
    <t xml:space="preserve">Applies to rooms</t>
  </si>
  <si>
    <t xml:space="preserve">CEIL-01</t>
  </si>
  <si>
    <t xml:space="preserve">Ceiling</t>
  </si>
  <si>
    <t xml:space="preserve">Ceiling surface even, no undulation, cracks or patch marks</t>
  </si>
  <si>
    <t xml:space="preserve">Torch held flat to the surface; no visible waves or patch outlines</t>
  </si>
  <si>
    <t xml:space="preserve">Plaster &amp; POP</t>
  </si>
  <si>
    <t xml:space="preserve">Minor</t>
  </si>
  <si>
    <t xml:space="preserve">Foyer / Entrance, Living / Dining, Bedroom, Kitchen, Toilet, Utility, Balcony, Passage / Lobby</t>
  </si>
  <si>
    <t xml:space="preserve">CEIL-02</t>
  </si>
  <si>
    <t xml:space="preserve">No dampness, seepage stains or efflorescence</t>
  </si>
  <si>
    <t xml:space="preserve">Look hard below toilets of the flat above and below the terrace on top floors</t>
  </si>
  <si>
    <t xml:space="preserve">Waterproofing</t>
  </si>
  <si>
    <t xml:space="preserve">Major</t>
  </si>
  <si>
    <t xml:space="preserve">CEIL-03</t>
  </si>
  <si>
    <t xml:space="preserve">Paint uniform, no patchiness, brush marks, drips or shade difference</t>
  </si>
  <si>
    <t xml:space="preserve">View in daylight and with lights on</t>
  </si>
  <si>
    <t xml:space="preserve">Painting</t>
  </si>
  <si>
    <t xml:space="preserve">CEIL-04</t>
  </si>
  <si>
    <t xml:space="preserve">Beam soffits and edges straight, arrises true</t>
  </si>
  <si>
    <t xml:space="preserve">Sight along the edge; no wavy lines</t>
  </si>
  <si>
    <t xml:space="preserve">CEIL-05</t>
  </si>
  <si>
    <t xml:space="preserve">False ceiling / cornice (if any) level, joints invisible, no sagging</t>
  </si>
  <si>
    <t xml:space="preserve">Spirit level at 2-3 spots</t>
  </si>
  <si>
    <t xml:space="preserve">CEIL-06</t>
  </si>
  <si>
    <t xml:space="preserve">Light and fan points at drawing location, boxes flush, cut-outs neat</t>
  </si>
  <si>
    <t xml:space="preserve">Compare with electrical layout</t>
  </si>
  <si>
    <t xml:space="preserve">Electrical</t>
  </si>
  <si>
    <t xml:space="preserve">CEIL-07</t>
  </si>
  <si>
    <t xml:space="preserve">Sprinkler / smoke detector at drawing location, cap removed, not painted over</t>
  </si>
  <si>
    <t xml:space="preserve">Compare with fire drawing</t>
  </si>
  <si>
    <t xml:space="preserve">Fire Fighting</t>
  </si>
  <si>
    <t xml:space="preserve">Critical</t>
  </si>
  <si>
    <t xml:space="preserve">WAL-01</t>
  </si>
  <si>
    <t xml:space="preserve">Walls, plaster &amp; paint</t>
  </si>
  <si>
    <t xml:space="preserve">Plaster true and plumb</t>
  </si>
  <si>
    <t xml:space="preserve">2 m straight edge in both directions; gap within project spec (typically 3-4 mm)</t>
  </si>
  <si>
    <t xml:space="preserve">Foyer / Entrance, Living / Dining, Bedroom, Kitchen, Passage / Lobby</t>
  </si>
  <si>
    <t xml:space="preserve">WAL-02</t>
  </si>
  <si>
    <t xml:space="preserve">No hollow or drummy plaster</t>
  </si>
  <si>
    <t xml:space="preserve">Tap with a wooden mallet or knuckle over the full wall</t>
  </si>
  <si>
    <t xml:space="preserve">WAL-03</t>
  </si>
  <si>
    <t xml:space="preserve">No cracks at RCC-masonry junctions, lintels, frame edges or chase lines</t>
  </si>
  <si>
    <t xml:space="preserve">Hairline: mark for mesh repair. Wider than 0.3 mm or recurring: refer to structural</t>
  </si>
  <si>
    <t xml:space="preserve">WAL-04</t>
  </si>
  <si>
    <t xml:space="preserve">Corners and edges straight, vertical and square; no chipped arrises</t>
  </si>
  <si>
    <t xml:space="preserve">Try square at corners; sight along edges</t>
  </si>
  <si>
    <t xml:space="preserve">WAL-05</t>
  </si>
  <si>
    <t xml:space="preserve">Paint uniform shade, no patchiness, roller marks, runs, pinholes or putty showing</t>
  </si>
  <si>
    <t xml:space="preserve">Daylight and artificial light</t>
  </si>
  <si>
    <t xml:space="preserve">WAL-06</t>
  </si>
  <si>
    <t xml:space="preserve">No paint splashes on switches, frames, glass, tiles or floor</t>
  </si>
  <si>
    <t xml:space="preserve">Visual</t>
  </si>
  <si>
    <t xml:space="preserve">WAL-07</t>
  </si>
  <si>
    <t xml:space="preserve">No dampness, blistering, peeling or efflorescence</t>
  </si>
  <si>
    <t xml:space="preserve">Check walls shared with toilets, external walls and shafts; moisture meter if available</t>
  </si>
  <si>
    <t xml:space="preserve">WAL-08</t>
  </si>
  <si>
    <t xml:space="preserve">Surface around switchboards, AC sleeves and pipe penetrations neatly finished</t>
  </si>
  <si>
    <t xml:space="preserve">WAL-09</t>
  </si>
  <si>
    <t xml:space="preserve">No nails, binding wire, tie-rod holes or rust marks visible</t>
  </si>
  <si>
    <t xml:space="preserve">Civil &amp; Masonry</t>
  </si>
  <si>
    <t xml:space="preserve">FLR-01</t>
  </si>
  <si>
    <t xml:space="preserve">Flooring</t>
  </si>
  <si>
    <t xml:space="preserve">Tiles / stone of approved make, size and shade; no shade variation in the room</t>
  </si>
  <si>
    <t xml:space="preserve">Compare with approved sample; check batch on cartons if still on site</t>
  </si>
  <si>
    <t xml:space="preserve">Tiling &amp; Stone</t>
  </si>
  <si>
    <t xml:space="preserve">Foyer / Entrance, Living / Dining, Bedroom, Kitchen, Utility, Balcony, Passage / Lobby</t>
  </si>
  <si>
    <t xml:space="preserve">FLR-02</t>
  </si>
  <si>
    <t xml:space="preserve">No hollow-sounding tiles</t>
  </si>
  <si>
    <t xml:space="preserve">Tap every tile with a rubber mallet or coin</t>
  </si>
  <si>
    <t xml:space="preserve">FLR-03</t>
  </si>
  <si>
    <t xml:space="preserve">Lippage between tiles within limit and floor level</t>
  </si>
  <si>
    <t xml:space="preserve">Straight edge across joints; lippage not more than 1 mm; no ponding</t>
  </si>
  <si>
    <t xml:space="preserve">FLR-04</t>
  </si>
  <si>
    <t xml:space="preserve">Joints uniform, straight and fully grouted in approved colour</t>
  </si>
  <si>
    <t xml:space="preserve">Visual; spacers used; no open joints</t>
  </si>
  <si>
    <t xml:space="preserve">FLR-05</t>
  </si>
  <si>
    <t xml:space="preserve">No cracked or broken tiles</t>
  </si>
  <si>
    <t xml:space="preserve">FLR-06</t>
  </si>
  <si>
    <t xml:space="preserve">No chipped edges, scratches or stains on tiles</t>
  </si>
  <si>
    <t xml:space="preserve">Visual, torch at low angle</t>
  </si>
  <si>
    <t xml:space="preserve">FLR-07</t>
  </si>
  <si>
    <t xml:space="preserve">Cut pieces neat; layout symmetric; no thin slivers at visible edges</t>
  </si>
  <si>
    <t xml:space="preserve">FLR-08</t>
  </si>
  <si>
    <t xml:space="preserve">Door threshold level with floors on both sides, no trip edge</t>
  </si>
  <si>
    <t xml:space="preserve">Straight edge across threshold</t>
  </si>
  <si>
    <t xml:space="preserve">FLR-09</t>
  </si>
  <si>
    <t xml:space="preserve">Floor clean of cement slurry, grout haze and paint</t>
  </si>
  <si>
    <t xml:space="preserve">Housekeeping</t>
  </si>
  <si>
    <t xml:space="preserve">SKT-01</t>
  </si>
  <si>
    <t xml:space="preserve">Skirting</t>
  </si>
  <si>
    <t xml:space="preserve">Skirting height uniform, top edge straight, projection uniform</t>
  </si>
  <si>
    <t xml:space="preserve">Visual, measure at 2-3 points</t>
  </si>
  <si>
    <t xml:space="preserve">SKT-02</t>
  </si>
  <si>
    <t xml:space="preserve">No gap between skirting and floor; joints aligned with floor joints</t>
  </si>
  <si>
    <t xml:space="preserve">SKT-03</t>
  </si>
  <si>
    <t xml:space="preserve">No loose or hollow skirting pieces</t>
  </si>
  <si>
    <t xml:space="preserve">Tap test</t>
  </si>
  <si>
    <t xml:space="preserve">DRI-01</t>
  </si>
  <si>
    <t xml:space="preserve">Internal wooden door</t>
  </si>
  <si>
    <t xml:space="preserve">Frame plumb and square, firmly fixed; gap to wall filled and finished</t>
  </si>
  <si>
    <t xml:space="preserve">Spirit level on jambs; push test on frame</t>
  </si>
  <si>
    <t xml:space="preserve">Carpentry (wooden doors)</t>
  </si>
  <si>
    <t xml:space="preserve">Bedroom, Toilet</t>
  </si>
  <si>
    <t xml:space="preserve">DRI-02</t>
  </si>
  <si>
    <t xml:space="preserve">Frame free of cracks, splits and termite signs</t>
  </si>
  <si>
    <t xml:space="preserve">Visual along full length, specially the bottom</t>
  </si>
  <si>
    <t xml:space="preserve">DRI-03</t>
  </si>
  <si>
    <t xml:space="preserve">Shutter flat, not warped; veneer / laminate not delaminated, dented or scratched</t>
  </si>
  <si>
    <t xml:space="preserve">Straight edge diagonally on shutter face</t>
  </si>
  <si>
    <t xml:space="preserve">DRI-04</t>
  </si>
  <si>
    <t xml:space="preserve">Uniform gap between shutter and frame; clearance under shutter as per spec</t>
  </si>
  <si>
    <t xml:space="preserve">About 3 mm at sides and top; confirm bottom gap with spec (usually 6-10 mm)</t>
  </si>
  <si>
    <t xml:space="preserve">DRI-05</t>
  </si>
  <si>
    <t xml:space="preserve">Shutter swings full without binding and stays where left half-open</t>
  </si>
  <si>
    <t xml:space="preserve">Open and close 5 times</t>
  </si>
  <si>
    <t xml:space="preserve">DRI-06</t>
  </si>
  <si>
    <t xml:space="preserve">Hinges: minimum 3 nos, all screws fitted, no squeak</t>
  </si>
  <si>
    <t xml:space="preserve">Count screws</t>
  </si>
  <si>
    <t xml:space="preserve">DRI-07</t>
  </si>
  <si>
    <t xml:space="preserve">Lock / latch works, strike plate aligned, all keys operate</t>
  </si>
  <si>
    <t xml:space="preserve">Try every key; latch engages without pushing the door</t>
  </si>
  <si>
    <t xml:space="preserve">DRI-08</t>
  </si>
  <si>
    <t xml:space="preserve">Handles, tower bolts and door stopper fitted, tight and undamaged</t>
  </si>
  <si>
    <t xml:space="preserve">Visual and hand test</t>
  </si>
  <si>
    <t xml:space="preserve">DRI-09</t>
  </si>
  <si>
    <t xml:space="preserve">Polish / paint / laminate edges uniform; all six edges of shutter sealed</t>
  </si>
  <si>
    <t xml:space="preserve">Check top and bottom edges with a mirror</t>
  </si>
  <si>
    <t xml:space="preserve">DRI-10</t>
  </si>
  <si>
    <t xml:space="preserve">Toilet door: water-resistant shutter and bottom edge sealed</t>
  </si>
  <si>
    <t xml:space="preserve">Confirm spec (WPC / PVC-faced flush)</t>
  </si>
  <si>
    <t xml:space="preserve">DRM-01</t>
  </si>
  <si>
    <t xml:space="preserve">Main entrance door</t>
  </si>
  <si>
    <t xml:space="preserve">Door make, rating and finish as approved</t>
  </si>
  <si>
    <t xml:space="preserve">Check label / spec sheet</t>
  </si>
  <si>
    <t xml:space="preserve">Foyer / Entrance</t>
  </si>
  <si>
    <t xml:space="preserve">DRM-02</t>
  </si>
  <si>
    <t xml:space="preserve">Main lock and night latch work; all keys operate</t>
  </si>
  <si>
    <t xml:space="preserve">Try every key from both sides</t>
  </si>
  <si>
    <t xml:space="preserve">DRM-03</t>
  </si>
  <si>
    <t xml:space="preserve">Door viewer fitted at correct height with clear view</t>
  </si>
  <si>
    <t xml:space="preserve">About 1500 mm from floor</t>
  </si>
  <si>
    <t xml:space="preserve">DRM-04</t>
  </si>
  <si>
    <t xml:space="preserve">Door closer (if provided) closes and latches smoothly</t>
  </si>
  <si>
    <t xml:space="preserve">Release from fully open 3 times</t>
  </si>
  <si>
    <t xml:space="preserve">DRM-05</t>
  </si>
  <si>
    <t xml:space="preserve">Flat number plate fixed with correct number</t>
  </si>
  <si>
    <t xml:space="preserve">DRM-06</t>
  </si>
  <si>
    <t xml:space="preserve">Marble / granite threshold level; no gap under door on lobby side</t>
  </si>
  <si>
    <t xml:space="preserve">DRM-07</t>
  </si>
  <si>
    <t xml:space="preserve">Smoke / weather seal (if specified) continuous</t>
  </si>
  <si>
    <t xml:space="preserve">WIN-01</t>
  </si>
  <si>
    <t xml:space="preserve">Windows &amp; sliding doors (aluminium / uPVC)</t>
  </si>
  <si>
    <t xml:space="preserve">Profile, colour and make as approved; frame plumb and square</t>
  </si>
  <si>
    <t xml:space="preserve">Spirit level; compare with approved sample</t>
  </si>
  <si>
    <t xml:space="preserve">Aluminium / uPVC</t>
  </si>
  <si>
    <t xml:space="preserve">Living / Dining, Bedroom, Kitchen, Balcony</t>
  </si>
  <si>
    <t xml:space="preserve">WIN-02</t>
  </si>
  <si>
    <t xml:space="preserve">Frame-to-wall joint sealed inside and outside; no gaps or daylight</t>
  </si>
  <si>
    <t xml:space="preserve">Visual from inside with room lights off</t>
  </si>
  <si>
    <t xml:space="preserve">WIN-03</t>
  </si>
  <si>
    <t xml:space="preserve">No leakage under water test</t>
  </si>
  <si>
    <t xml:space="preserve">Hose on the outside for 10-15 min; check frame, sill and glass edges</t>
  </si>
  <si>
    <t xml:space="preserve">WIN-04</t>
  </si>
  <si>
    <t xml:space="preserve">Sashes slide / open smoothly; rollers free; no rattle</t>
  </si>
  <si>
    <t xml:space="preserve">Operate full travel 5 times</t>
  </si>
  <si>
    <t xml:space="preserve">WIN-05</t>
  </si>
  <si>
    <t xml:space="preserve">Locks, handles and crescent locks engage fully; friction stays hold</t>
  </si>
  <si>
    <t xml:space="preserve">Operate each</t>
  </si>
  <si>
    <t xml:space="preserve">WIN-06</t>
  </si>
  <si>
    <t xml:space="preserve">No cracked or broken glass</t>
  </si>
  <si>
    <t xml:space="preserve">Glass &amp; Glazing</t>
  </si>
  <si>
    <t xml:space="preserve">WIN-07</t>
  </si>
  <si>
    <t xml:space="preserve">Glass of correct type (toughened / frosted in toilets), no scratches or bubbles, labels removed</t>
  </si>
  <si>
    <t xml:space="preserve">Check toughened stamp</t>
  </si>
  <si>
    <t xml:space="preserve">WIN-08</t>
  </si>
  <si>
    <t xml:space="preserve">Gaskets and brush seals complete; glazing beads tight</t>
  </si>
  <si>
    <t xml:space="preserve">Run a finger along</t>
  </si>
  <si>
    <t xml:space="preserve">WIN-09</t>
  </si>
  <si>
    <t xml:space="preserve">Drainage slots in bottom track open; track clear of mortar</t>
  </si>
  <si>
    <t xml:space="preserve">Pour water in the track; it should drain out</t>
  </si>
  <si>
    <t xml:space="preserve">WIN-10</t>
  </si>
  <si>
    <t xml:space="preserve">Mosquito mesh shutter fitted and slides (if in scope)</t>
  </si>
  <si>
    <t xml:space="preserve">Operate</t>
  </si>
  <si>
    <t xml:space="preserve">WIN-11</t>
  </si>
  <si>
    <t xml:space="preserve">Sill slopes outward; external sill has drip groove; joints sealed</t>
  </si>
  <si>
    <t xml:space="preserve">Visual, spirit level</t>
  </si>
  <si>
    <t xml:space="preserve">WIN-12</t>
  </si>
  <si>
    <t xml:space="preserve">Safety grill / child guard on low-sill windows as specified</t>
  </si>
  <si>
    <t xml:space="preserve">Low sill = below about 900 mm</t>
  </si>
  <si>
    <t xml:space="preserve">MS / SS Fabrication</t>
  </si>
  <si>
    <t xml:space="preserve">WIN-13</t>
  </si>
  <si>
    <t xml:space="preserve">Protective film removed; no cement or paint on frames</t>
  </si>
  <si>
    <t xml:space="preserve">ELC-01</t>
  </si>
  <si>
    <t xml:space="preserve">Electrical points</t>
  </si>
  <si>
    <t xml:space="preserve">Switches and sockets as per layout: count, position and height</t>
  </si>
  <si>
    <t xml:space="preserve">Foyer / Entrance, Living / Dining, Bedroom, Kitchen, Toilet, Utility, Passage / Lobby</t>
  </si>
  <si>
    <t xml:space="preserve">ELC-02</t>
  </si>
  <si>
    <t xml:space="preserve">Plates level and flush, all screws and caps fitted, no cracked plates</t>
  </si>
  <si>
    <t xml:space="preserve">ELC-03</t>
  </si>
  <si>
    <t xml:space="preserve">Every switch controls its point; every socket passes socket tester</t>
  </si>
  <si>
    <t xml:space="preserve">Socket tester for polarity and earth</t>
  </si>
  <si>
    <t xml:space="preserve">ELC-04</t>
  </si>
  <si>
    <t xml:space="preserve">Fan hook in RCC at fan point, secure; regulator point provided</t>
  </si>
  <si>
    <t xml:space="preserve">Pull test on hook</t>
  </si>
  <si>
    <t xml:space="preserve">ELC-05</t>
  </si>
  <si>
    <t xml:space="preserve">No loose wires or open boxes; blanking plates on unused boxes</t>
  </si>
  <si>
    <t xml:space="preserve">ELC-06</t>
  </si>
  <si>
    <t xml:space="preserve">TV / data / telephone points as per layout with draw wire in conduit</t>
  </si>
  <si>
    <t xml:space="preserve">AC-01</t>
  </si>
  <si>
    <t xml:space="preserve">Air-conditioning provision</t>
  </si>
  <si>
    <t xml:space="preserve">AC socket (16/20 A) near indoor unit location at correct height</t>
  </si>
  <si>
    <t xml:space="preserve">Compare with layout</t>
  </si>
  <si>
    <t xml:space="preserve">Living / Dining, Bedroom</t>
  </si>
  <si>
    <t xml:space="preserve">AC-02</t>
  </si>
  <si>
    <t xml:space="preserve">AC sleeve through wall at correct position, sloping out, capped</t>
  </si>
  <si>
    <t xml:space="preserve">HVAC</t>
  </si>
  <si>
    <t xml:space="preserve">AC-03</t>
  </si>
  <si>
    <t xml:space="preserve">Condensate drain provision connected and tested</t>
  </si>
  <si>
    <t xml:space="preserve">Pour water into drain point; confirm discharge</t>
  </si>
  <si>
    <t xml:space="preserve">AC-04</t>
  </si>
  <si>
    <t xml:space="preserve">Outdoor unit ledge / bracket position safe and reachable for service</t>
  </si>
  <si>
    <t xml:space="preserve">Visual from balcony / ledge</t>
  </si>
  <si>
    <t xml:space="preserve">AC-05</t>
  </si>
  <si>
    <t xml:space="preserve">Pre-installed copper piping (if any) pressure tested and capped</t>
  </si>
  <si>
    <t xml:space="preserve">Test record</t>
  </si>
  <si>
    <t xml:space="preserve">BR-01</t>
  </si>
  <si>
    <t xml:space="preserve">Bedroom extras</t>
  </si>
  <si>
    <t xml:space="preserve">Wardrobe (if in scope): shutters aligned, hinges, handles and drawers work, no swelling</t>
  </si>
  <si>
    <t xml:space="preserve">Operate each shutter and drawer</t>
  </si>
  <si>
    <t xml:space="preserve">Bedroom</t>
  </si>
  <si>
    <t xml:space="preserve">BR-02</t>
  </si>
  <si>
    <t xml:space="preserve">Bedside switches / two-way switching as per layout</t>
  </si>
  <si>
    <t xml:space="preserve">Test both ends</t>
  </si>
  <si>
    <t xml:space="preserve">FOY-01</t>
  </si>
  <si>
    <t xml:space="preserve">Foyer extras</t>
  </si>
  <si>
    <t xml:space="preserve">Video door phone / intercom calls security and lobby</t>
  </si>
  <si>
    <t xml:space="preserve">Place a test call both ways</t>
  </si>
  <si>
    <t xml:space="preserve">FOY-02</t>
  </si>
  <si>
    <t xml:space="preserve">Bell push outside and chime inside work</t>
  </si>
  <si>
    <t xml:space="preserve">Test</t>
  </si>
  <si>
    <t xml:space="preserve">WET-01</t>
  </si>
  <si>
    <t xml:space="preserve">Wet area floor &amp; waterproofing</t>
  </si>
  <si>
    <t xml:space="preserve">Waterproofing done and 72-hr ponding test record available</t>
  </si>
  <si>
    <t xml:space="preserve">Check QA record for this flat</t>
  </si>
  <si>
    <t xml:space="preserve">Toilet</t>
  </si>
  <si>
    <t xml:space="preserve">WET-02</t>
  </si>
  <si>
    <t xml:space="preserve">No dampness in ceiling of flat below or adjoining walls</t>
  </si>
  <si>
    <t xml:space="preserve">Check the flat below at the same position</t>
  </si>
  <si>
    <t xml:space="preserve">WET-03</t>
  </si>
  <si>
    <t xml:space="preserve">Floor slopes to floor trap with no ponding</t>
  </si>
  <si>
    <t xml:space="preserve">Pour a bucket of water; about 1:100 slope</t>
  </si>
  <si>
    <t xml:space="preserve">WET-04</t>
  </si>
  <si>
    <t xml:space="preserve">Floor trap with grating, water seal present, grating flush with tiles</t>
  </si>
  <si>
    <t xml:space="preserve">Visual; pour water to check seal</t>
  </si>
  <si>
    <t xml:space="preserve">Plumbing &amp; Sanitary</t>
  </si>
  <si>
    <t xml:space="preserve">WET-05</t>
  </si>
  <si>
    <t xml:space="preserve">Shower area level drop / step as specified</t>
  </si>
  <si>
    <t xml:space="preserve">WET-06</t>
  </si>
  <si>
    <t xml:space="preserve">Joints around trap, WC and pipe entries sealed (epoxy / silicone)</t>
  </si>
  <si>
    <t xml:space="preserve">DAD-01</t>
  </si>
  <si>
    <t xml:space="preserve">Wall tiles / dado</t>
  </si>
  <si>
    <t xml:space="preserve">Dado to specified height; top edge straight and finished</t>
  </si>
  <si>
    <t xml:space="preserve">Measure; trim / bullnose as spec</t>
  </si>
  <si>
    <t xml:space="preserve">Toilet, Utility</t>
  </si>
  <si>
    <t xml:space="preserve">DAD-02</t>
  </si>
  <si>
    <t xml:space="preserve">No hollow wall tiles</t>
  </si>
  <si>
    <t xml:space="preserve">Tap every tile</t>
  </si>
  <si>
    <t xml:space="preserve">DAD-03</t>
  </si>
  <si>
    <t xml:space="preserve">Joints aligned with floor joints, uniform, grout / epoxy filled</t>
  </si>
  <si>
    <t xml:space="preserve">DAD-04</t>
  </si>
  <si>
    <t xml:space="preserve">Cut-outs around pipes, CP fittings and switches neat, no cracks</t>
  </si>
  <si>
    <t xml:space="preserve">DAD-05</t>
  </si>
  <si>
    <t xml:space="preserve">No cracked or chipped tiles; lippage within 1 mm</t>
  </si>
  <si>
    <t xml:space="preserve">Straight edge</t>
  </si>
  <si>
    <t xml:space="preserve">DAD-06</t>
  </si>
  <si>
    <t xml:space="preserve">External corners with trims or mitred edges, straight</t>
  </si>
  <si>
    <t xml:space="preserve">SAN-01</t>
  </si>
  <si>
    <t xml:space="preserve">Sanitary ware</t>
  </si>
  <si>
    <t xml:space="preserve">WC of approved make, firmly fixed, level, no rocking; seat cover fitted</t>
  </si>
  <si>
    <t xml:space="preserve">Push test; spirit level</t>
  </si>
  <si>
    <t xml:space="preserve">SAN-02</t>
  </si>
  <si>
    <t xml:space="preserve">Flush works, cistern refills and stops; both dual-flush buttons work</t>
  </si>
  <si>
    <t xml:space="preserve">Flush 3 times</t>
  </si>
  <si>
    <t xml:space="preserve">SAN-03</t>
  </si>
  <si>
    <t xml:space="preserve">WC joint to floor / wall sealed; no leak on flush</t>
  </si>
  <si>
    <t xml:space="preserve">Tissue test at base after flushing</t>
  </si>
  <si>
    <t xml:space="preserve">SAN-04</t>
  </si>
  <si>
    <t xml:space="preserve">Wash basin level and firmly fixed; counter / pedestal stable</t>
  </si>
  <si>
    <t xml:space="preserve">Push test</t>
  </si>
  <si>
    <t xml:space="preserve">SAN-05</t>
  </si>
  <si>
    <t xml:space="preserve">Basin waste, bottle trap and overflow work; no leak underneath</t>
  </si>
  <si>
    <t xml:space="preserve">Fill basin and release</t>
  </si>
  <si>
    <t xml:space="preserve">SAN-06</t>
  </si>
  <si>
    <t xml:space="preserve">No chips, cracks or crazing on ceramic ware</t>
  </si>
  <si>
    <t xml:space="preserve">Visual, torch</t>
  </si>
  <si>
    <t xml:space="preserve">SAN-07</t>
  </si>
  <si>
    <t xml:space="preserve">Health faucet, towel rail, robe hook, soap dish, paper holder, mirror fitted as spec</t>
  </si>
  <si>
    <t xml:space="preserve">Check against accessories list</t>
  </si>
  <si>
    <t xml:space="preserve">SAN-08</t>
  </si>
  <si>
    <t xml:space="preserve">Silicone around basin and counter neat and continuous</t>
  </si>
  <si>
    <t xml:space="preserve">CPF-01</t>
  </si>
  <si>
    <t xml:space="preserve">CP fittings &amp; water supply</t>
  </si>
  <si>
    <t xml:space="preserve">Hot and cold water at every outlet; hot on left</t>
  </si>
  <si>
    <t xml:space="preserve">Run every outlet</t>
  </si>
  <si>
    <t xml:space="preserve">CPF-02</t>
  </si>
  <si>
    <t xml:space="preserve">Diverter, shower and spout operate; no drip after closing</t>
  </si>
  <si>
    <t xml:space="preserve">CPF-03</t>
  </si>
  <si>
    <t xml:space="preserve">Flow and pressure adequate</t>
  </si>
  <si>
    <t xml:space="preserve">Check at the highest outlet; compare top floors</t>
  </si>
  <si>
    <t xml:space="preserve">CPF-04</t>
  </si>
  <si>
    <t xml:space="preserve">Concealed stop-cocks accessible, working and identified</t>
  </si>
  <si>
    <t xml:space="preserve">CPF-05</t>
  </si>
  <si>
    <t xml:space="preserve">Geyser point (socket + inlet / outlet) at correct height; geyser (if supplied) tested</t>
  </si>
  <si>
    <t xml:space="preserve">Visual; run hot water</t>
  </si>
  <si>
    <t xml:space="preserve">CPF-06</t>
  </si>
  <si>
    <t xml:space="preserve">Wall flanges flush on all concealed outlets</t>
  </si>
  <si>
    <t xml:space="preserve">CPF-07</t>
  </si>
  <si>
    <t xml:space="preserve">No leak at any joint after running all outlets for 5 min</t>
  </si>
  <si>
    <t xml:space="preserve">Check below basin, behind WC, in shaft</t>
  </si>
  <si>
    <t xml:space="preserve">CPF-08</t>
  </si>
  <si>
    <t xml:space="preserve">Chrome finish free of scratches, rust or pitting</t>
  </si>
  <si>
    <t xml:space="preserve">EXH-01</t>
  </si>
  <si>
    <t xml:space="preserve">Ventilation</t>
  </si>
  <si>
    <t xml:space="preserve">Exhaust fan point / fan works; cowl or louvre fitted outside</t>
  </si>
  <si>
    <t xml:space="preserve">Switch on</t>
  </si>
  <si>
    <t xml:space="preserve">EXH-02</t>
  </si>
  <si>
    <t xml:space="preserve">Ventilator frame, louvres and glass intact and operable</t>
  </si>
  <si>
    <t xml:space="preserve">EXH-03</t>
  </si>
  <si>
    <t xml:space="preserve">False ceiling access panel (if any) for plumbing / geyser</t>
  </si>
  <si>
    <t xml:space="preserve">Open panel</t>
  </si>
  <si>
    <t xml:space="preserve">KIT-01</t>
  </si>
  <si>
    <t xml:space="preserve">Kitchen</t>
  </si>
  <si>
    <t xml:space="preserve">Platform level, firmly supported, height as spec, front edge moulded and polished</t>
  </si>
  <si>
    <t xml:space="preserve">Spirit level; typically 820-850 mm</t>
  </si>
  <si>
    <t xml:space="preserve">KIT-02</t>
  </si>
  <si>
    <t xml:space="preserve">Platform joints epoxy filled; no cracks in stone; backsplash joint sealed</t>
  </si>
  <si>
    <t xml:space="preserve">KIT-03</t>
  </si>
  <si>
    <t xml:space="preserve">Sink fitted level and sealed; drains fast; no leak below</t>
  </si>
  <si>
    <t xml:space="preserve">Fill and release sink</t>
  </si>
  <si>
    <t xml:space="preserve">KIT-04</t>
  </si>
  <si>
    <t xml:space="preserve">Sink tap / mixer works, aerator fitted</t>
  </si>
  <si>
    <t xml:space="preserve">KIT-05</t>
  </si>
  <si>
    <t xml:space="preserve">Dado above platform to spec height; joints aligned</t>
  </si>
  <si>
    <t xml:space="preserve">Measure</t>
  </si>
  <si>
    <t xml:space="preserve">KIT-06</t>
  </si>
  <si>
    <t xml:space="preserve">Appliance points (chimney, microwave, fridge, RO, dishwasher) at correct location and rating</t>
  </si>
  <si>
    <t xml:space="preserve">KIT-07</t>
  </si>
  <si>
    <t xml:space="preserve">Chimney / exhaust core cut with cowl to outside</t>
  </si>
  <si>
    <t xml:space="preserve">KIT-08</t>
  </si>
  <si>
    <t xml:space="preserve">PNG gas pipe, isolation valve and meter point; leak test certificate</t>
  </si>
  <si>
    <t xml:space="preserve">Certificate from gas agency</t>
  </si>
  <si>
    <t xml:space="preserve">KIT-09</t>
  </si>
  <si>
    <t xml:space="preserve">RO / purifier inlet and drain point provided</t>
  </si>
  <si>
    <t xml:space="preserve">KIT-10</t>
  </si>
  <si>
    <t xml:space="preserve">Modular kitchen (if in scope): shutters aligned, hinges and channels work, no swelling</t>
  </si>
  <si>
    <t xml:space="preserve">UTL-01</t>
  </si>
  <si>
    <t xml:space="preserve">Utility</t>
  </si>
  <si>
    <t xml:space="preserve">Washing machine inlet tap and drain point; socket at safe height</t>
  </si>
  <si>
    <t xml:space="preserve">Visual; socket clear of splash zone</t>
  </si>
  <si>
    <t xml:space="preserve">UTL-02</t>
  </si>
  <si>
    <t xml:space="preserve">Floor slopes to drain; no ponding</t>
  </si>
  <si>
    <t xml:space="preserve">Bucket test</t>
  </si>
  <si>
    <t xml:space="preserve">UTL-03</t>
  </si>
  <si>
    <t xml:space="preserve">Utility sink / tap works (if in scope)</t>
  </si>
  <si>
    <t xml:space="preserve">UTL-04</t>
  </si>
  <si>
    <t xml:space="preserve">No dampness on walls or ceiling below</t>
  </si>
  <si>
    <t xml:space="preserve">Check flat below</t>
  </si>
  <si>
    <t xml:space="preserve">BAL-01</t>
  </si>
  <si>
    <t xml:space="preserve">Balcony</t>
  </si>
  <si>
    <t xml:space="preserve">Railing height as per spec / bye-laws from finished floor; rigid, no shake</t>
  </si>
  <si>
    <t xml:space="preserve">Measure; push hard at mid-span</t>
  </si>
  <si>
    <t xml:space="preserve">BAL-02</t>
  </si>
  <si>
    <t xml:space="preserve">Baluster gap within 100 mm; no climbable horizontal members</t>
  </si>
  <si>
    <t xml:space="preserve">BAL-03</t>
  </si>
  <si>
    <t xml:space="preserve">Glass railing (if any): toughened laminated glass, clamps tight, edges polished</t>
  </si>
  <si>
    <t xml:space="preserve">Check stamp and fixings</t>
  </si>
  <si>
    <t xml:space="preserve">BAL-04</t>
  </si>
  <si>
    <t xml:space="preserve">Railing welds ground, finish free of rust; anchors grouted and sealed</t>
  </si>
  <si>
    <t xml:space="preserve">BAL-05</t>
  </si>
  <si>
    <t xml:space="preserve">Floor slopes away from the flat to outlet; no ponding</t>
  </si>
  <si>
    <t xml:space="preserve">BAL-06</t>
  </si>
  <si>
    <t xml:space="preserve">Rainwater outlet with grating, connected and flowing</t>
  </si>
  <si>
    <t xml:space="preserve">Pour water</t>
  </si>
  <si>
    <t xml:space="preserve">BAL-07</t>
  </si>
  <si>
    <t xml:space="preserve">Level drop / upstand at balcony door stops water entering the flat</t>
  </si>
  <si>
    <t xml:space="preserve">Visual; water test</t>
  </si>
  <si>
    <t xml:space="preserve">BAL-08</t>
  </si>
  <si>
    <t xml:space="preserve">External paint on parapet and walls uniform; no cracks or seepage</t>
  </si>
  <si>
    <t xml:space="preserve">BAL-09</t>
  </si>
  <si>
    <t xml:space="preserve">Drip groove under slab edge continuous</t>
  </si>
  <si>
    <t xml:space="preserve">BAL-10</t>
  </si>
  <si>
    <t xml:space="preserve">Light point and weatherproof socket as per layout</t>
  </si>
  <si>
    <t xml:space="preserve">UNT-01</t>
  </si>
  <si>
    <t xml:space="preserve">Whole flat / services</t>
  </si>
  <si>
    <t xml:space="preserve">Room dimensions spot-checked against sale drawing</t>
  </si>
  <si>
    <t xml:space="preserve">Laser measure main rooms</t>
  </si>
  <si>
    <t xml:space="preserve">Whole flat</t>
  </si>
  <si>
    <t xml:space="preserve">UNT-02</t>
  </si>
  <si>
    <t xml:space="preserve">Floor-to-ceiling height as per drawing</t>
  </si>
  <si>
    <t xml:space="preserve">Laser measure</t>
  </si>
  <si>
    <t xml:space="preserve">UNT-03</t>
  </si>
  <si>
    <t xml:space="preserve">No cracks in beams, columns or slabs; no exposed steel or honeycombing</t>
  </si>
  <si>
    <t xml:space="preserve">Report any to structural consultant</t>
  </si>
  <si>
    <t xml:space="preserve">UNT-04</t>
  </si>
  <si>
    <t xml:space="preserve">DB: MCB ratings as per schedule; RCCB trips on test button and socket tester</t>
  </si>
  <si>
    <t xml:space="preserve">Press RCCB test; 30 mA tester</t>
  </si>
  <si>
    <t xml:space="preserve">UNT-05</t>
  </si>
  <si>
    <t xml:space="preserve">DB circuits labelled; cover and blanks fitted; no exposed live parts</t>
  </si>
  <si>
    <t xml:space="preserve">UNT-06</t>
  </si>
  <si>
    <t xml:space="preserve">Insulation resistance and earth continuity test record for this flat</t>
  </si>
  <si>
    <t xml:space="preserve">IR test record per spec (typically 1 MΩ or more)</t>
  </si>
  <si>
    <t xml:space="preserve">UNT-07</t>
  </si>
  <si>
    <t xml:space="preserve">Electricity meter installed, sealed, mapped to this flat; reading noted</t>
  </si>
  <si>
    <t xml:space="preserve">Switch off flat main and confirm meter stops</t>
  </si>
  <si>
    <t xml:space="preserve">UNT-08</t>
  </si>
  <si>
    <t xml:space="preserve">DG backup circuits work on changeover</t>
  </si>
  <si>
    <t xml:space="preserve">Coordinate DG test</t>
  </si>
  <si>
    <t xml:space="preserve">UNT-09</t>
  </si>
  <si>
    <t xml:space="preserve">Internal water line hydro-test record; no pressure drop</t>
  </si>
  <si>
    <t xml:space="preserve">UNT-10</t>
  </si>
  <si>
    <t xml:space="preserve">Water meter (if any) installed and mapped; reading noted</t>
  </si>
  <si>
    <t xml:space="preserve">UNT-11</t>
  </si>
  <si>
    <t xml:space="preserve">No sewer smell; all traps charged with water</t>
  </si>
  <si>
    <t xml:space="preserve">Walk through with doors closed</t>
  </si>
  <si>
    <t xml:space="preserve">UNT-12</t>
  </si>
  <si>
    <t xml:space="preserve">Plumbing shaft access door fitted; no leak in shaft</t>
  </si>
  <si>
    <t xml:space="preserve">Open and inspect</t>
  </si>
  <si>
    <t xml:space="preserve">UNT-13</t>
  </si>
  <si>
    <t xml:space="preserve">Sprinklers / smoke detectors as per fire drawing; caps removed</t>
  </si>
  <si>
    <t xml:space="preserve">Compare with fire NOC drawings</t>
  </si>
  <si>
    <t xml:space="preserve">UNT-14</t>
  </si>
  <si>
    <t xml:space="preserve">Intercom handset works; extension number noted</t>
  </si>
  <si>
    <t xml:space="preserve">Test call</t>
  </si>
  <si>
    <t xml:space="preserve">UNT-15</t>
  </si>
  <si>
    <t xml:space="preserve">Fittings of approved make (random check of tiles, CP, sanitary, switches, locks)</t>
  </si>
  <si>
    <t xml:space="preserve">Compare with spec sheet</t>
  </si>
  <si>
    <t xml:space="preserve">UNT-16</t>
  </si>
  <si>
    <t xml:space="preserve">Anti-termite / pest control record available</t>
  </si>
  <si>
    <t xml:space="preserve">Record</t>
  </si>
  <si>
    <t xml:space="preserve">UNT-17</t>
  </si>
  <si>
    <t xml:space="preserve">Deep cleaning done; debris, packaging and stickers removed</t>
  </si>
  <si>
    <t xml:space="preserve">UNT-18</t>
  </si>
  <si>
    <t xml:space="preserve">Lobby in front of flat: finishes, lighting and fire door OK</t>
  </si>
  <si>
    <t xml:space="preserve">Log common-area issues separately</t>
  </si>
  <si>
    <t xml:space="preserve">Check count = number of checklist rows whose element group is listed for the room (live formula).</t>
  </si>
  <si>
    <t xml:space="preserve">Flat type</t>
  </si>
  <si>
    <t xml:space="preserve">Room key</t>
  </si>
  <si>
    <t xml:space="preserve">Room</t>
  </si>
  <si>
    <t xml:space="preserve">Room kind</t>
  </si>
  <si>
    <t xml:space="preserve">Element groups</t>
  </si>
  <si>
    <t xml:space="preserve">Checks</t>
  </si>
  <si>
    <t xml:space="preserve">2BHK</t>
  </si>
  <si>
    <t xml:space="preserve">foyer</t>
  </si>
  <si>
    <t xml:space="preserve">Foyer</t>
  </si>
  <si>
    <t xml:space="preserve">CEIL, WALL, FLR, SKT, DRM, ELC, FOY</t>
  </si>
  <si>
    <t xml:space="preserve">living</t>
  </si>
  <si>
    <t xml:space="preserve">Living / Dining</t>
  </si>
  <si>
    <t xml:space="preserve">CEIL, WALL, FLR, SKT, WIN, ELC, AC</t>
  </si>
  <si>
    <t xml:space="preserve">kitchen</t>
  </si>
  <si>
    <t xml:space="preserve">CEIL, WALL, FLR, SKT, WIN, ELC, KIT</t>
  </si>
  <si>
    <t xml:space="preserve">utility</t>
  </si>
  <si>
    <t xml:space="preserve">CEIL, FLR, DAD, UTL, ELC</t>
  </si>
  <si>
    <t xml:space="preserve">passage</t>
  </si>
  <si>
    <t xml:space="preserve">Passage</t>
  </si>
  <si>
    <t xml:space="preserve">Passage / Lobby</t>
  </si>
  <si>
    <t xml:space="preserve">CEIL, WALL, FLR, SKT, ELC</t>
  </si>
  <si>
    <t xml:space="preserve">bed1</t>
  </si>
  <si>
    <t xml:space="preserve">Master Bedroom</t>
  </si>
  <si>
    <t xml:space="preserve">CEIL, WALL, FLR, SKT, DRI, WIN, ELC, AC, BR</t>
  </si>
  <si>
    <t xml:space="preserve">bed2</t>
  </si>
  <si>
    <t xml:space="preserve">Bedroom 2</t>
  </si>
  <si>
    <t xml:space="preserve">toi1</t>
  </si>
  <si>
    <t xml:space="preserve">Master Toilet</t>
  </si>
  <si>
    <t xml:space="preserve">CEIL, DRI, WET, DAD, SAN, CPF, EXH, ELC</t>
  </si>
  <si>
    <t xml:space="preserve">toi2</t>
  </si>
  <si>
    <t xml:space="preserve">Common Toilet</t>
  </si>
  <si>
    <t xml:space="preserve">bal1</t>
  </si>
  <si>
    <t xml:space="preserve">Living Balcony</t>
  </si>
  <si>
    <t xml:space="preserve">CEIL, FLR, WIN, BAL</t>
  </si>
  <si>
    <t xml:space="preserve">bal2</t>
  </si>
  <si>
    <t xml:space="preserve">Bedroom Balcony</t>
  </si>
  <si>
    <t xml:space="preserve">flat</t>
  </si>
  <si>
    <t xml:space="preserve">Whole flat &amp; services</t>
  </si>
  <si>
    <t xml:space="preserve">UNT</t>
  </si>
  <si>
    <t xml:space="preserve">Total checks per 2BHK flat</t>
  </si>
  <si>
    <t xml:space="preserve">3BHK</t>
  </si>
  <si>
    <t xml:space="preserve">bed3</t>
  </si>
  <si>
    <t xml:space="preserve">Bedroom 3</t>
  </si>
  <si>
    <t xml:space="preserve">Toilet 2</t>
  </si>
  <si>
    <t xml:space="preserve">toi3</t>
  </si>
  <si>
    <t xml:space="preserve">Toilet 3</t>
  </si>
  <si>
    <t xml:space="preserve">Total checks per 3BHK flat</t>
  </si>
  <si>
    <t xml:space="preserve">Default owner for snags raised against each item. Counts are live formulas.</t>
  </si>
  <si>
    <t xml:space="preserve">Team ID</t>
  </si>
  <si>
    <t xml:space="preserve">Team</t>
  </si>
  <si>
    <t xml:space="preserve">Checklist items owned</t>
  </si>
  <si>
    <t xml:space="preserve">of which Critical</t>
  </si>
  <si>
    <t xml:space="preserve">civil</t>
  </si>
  <si>
    <t xml:space="preserve">plaster</t>
  </si>
  <si>
    <t xml:space="preserve">paint</t>
  </si>
  <si>
    <t xml:space="preserve">tiling</t>
  </si>
  <si>
    <t xml:space="preserve">carpentry</t>
  </si>
  <si>
    <t xml:space="preserve">fenestration</t>
  </si>
  <si>
    <t xml:space="preserve">glazing</t>
  </si>
  <si>
    <t xml:space="preserve">electrical</t>
  </si>
  <si>
    <t xml:space="preserve">plumbing</t>
  </si>
  <si>
    <t xml:space="preserve">waterproofing</t>
  </si>
  <si>
    <t xml:space="preserve">hvac</t>
  </si>
  <si>
    <t xml:space="preserve">fire</t>
  </si>
  <si>
    <t xml:space="preserve">fabrication</t>
  </si>
  <si>
    <t xml:space="preserve">housekeeping</t>
  </si>
  <si>
    <t xml:space="preserve">Used on every snag.</t>
  </si>
  <si>
    <t xml:space="preserve">Meaning</t>
  </si>
  <si>
    <t xml:space="preserve">Items in checklist</t>
  </si>
  <si>
    <t xml:space="preserve">Safety, structure, water ingress or statutory item. Blocks handover. Target fix: 48 hours.</t>
  </si>
  <si>
    <t xml:space="preserve">Function affected or visible defect a buyer will reject. Blocks handover. Target fix: 7 days.</t>
  </si>
  <si>
    <t xml:space="preserve">Cosmetic or finishing. Can be accepted by the buyer at handover with a fix date. Target fix: 14 days.</t>
  </si>
  <si>
    <t xml:space="preserve">Handover record</t>
  </si>
  <si>
    <t xml:space="preserve">Captured in the app's Handover tab for each flat, with customer and company signatures.</t>
  </si>
  <si>
    <t xml:space="preserve">Section</t>
  </si>
  <si>
    <t xml:space="preserve">Item</t>
  </si>
  <si>
    <t xml:space="preserve">Before handover</t>
  </si>
  <si>
    <t xml:space="preserve">No Critical or Major snag open (checked automatically)</t>
  </si>
  <si>
    <t xml:space="preserve">System</t>
  </si>
  <si>
    <t xml:space="preserve">Inspection 100% complete (checked automatically)</t>
  </si>
  <si>
    <t xml:space="preserve">Occupancy certificate received / possession offered</t>
  </si>
  <si>
    <t xml:space="preserve">Tick</t>
  </si>
  <si>
    <t xml:space="preserve">CRM confirms dues cleared</t>
  </si>
  <si>
    <t xml:space="preserve">Meter readings</t>
  </si>
  <si>
    <t xml:space="preserve">Electricity meter (kWh)</t>
  </si>
  <si>
    <t xml:space="preserve">Reading</t>
  </si>
  <si>
    <t xml:space="preserve">DG / prepaid meter</t>
  </si>
  <si>
    <t xml:space="preserve">Water meter</t>
  </si>
  <si>
    <t xml:space="preserve">PNG gas meter</t>
  </si>
  <si>
    <t xml:space="preserve">Keys handed (count)</t>
  </si>
  <si>
    <t xml:space="preserve">Main door</t>
  </si>
  <si>
    <t xml:space="preserve">Number</t>
  </si>
  <si>
    <t xml:space="preserve">Bedroom doors</t>
  </si>
  <si>
    <t xml:space="preserve">Toilet doors</t>
  </si>
  <si>
    <t xml:space="preserve">Balcony / window locks</t>
  </si>
  <si>
    <t xml:space="preserve">Letter box</t>
  </si>
  <si>
    <t xml:space="preserve">DB / meter box</t>
  </si>
  <si>
    <t xml:space="preserve">Access cards / RFID tags</t>
  </si>
  <si>
    <t xml:space="preserve">Documents handed</t>
  </si>
  <si>
    <t xml:space="preserve">Possession letter</t>
  </si>
  <si>
    <t xml:space="preserve">Joint inspection report (snag list) signed</t>
  </si>
  <si>
    <t xml:space="preserve">Warranty cards: CP and sanitary fittings</t>
  </si>
  <si>
    <t xml:space="preserve">Warranty: windows and main door lock</t>
  </si>
  <si>
    <t xml:space="preserve">Warranty: modular kitchen / appliances (if any)</t>
  </si>
  <si>
    <t xml:space="preserve">As-built electrical and plumbing layouts</t>
  </si>
  <si>
    <t xml:space="preserve">Owner's manual (incl. no drilling / core cutting in RCC, waterproofing care)</t>
  </si>
  <si>
    <t xml:space="preserve">Maintenance agreement and RWA forms</t>
  </si>
  <si>
    <t xml:space="preserve">Parking allotment letter</t>
  </si>
  <si>
    <t xml:space="preserve">Shown to customer</t>
  </si>
  <si>
    <t xml:space="preserve">DB, MCB and RCCB reset shown</t>
  </si>
  <si>
    <t xml:space="preserve">Water isolation valves shown</t>
  </si>
  <si>
    <t xml:space="preserve">Gas isolation valve shown</t>
  </si>
  <si>
    <t xml:space="preserve">Intercom and video door phone shown</t>
  </si>
  <si>
    <t xml:space="preserve">Smoke detector, sprinkler and escape route explained</t>
  </si>
  <si>
    <t xml:space="preserve">Window locks and mesh shown</t>
  </si>
  <si>
    <t xml:space="preserve">Acceptance</t>
  </si>
  <si>
    <t xml:space="preserve">Customer name</t>
  </si>
  <si>
    <t xml:space="preserve">Entry</t>
  </si>
  <si>
    <t xml:space="preserve">Customer phone</t>
  </si>
  <si>
    <t xml:space="preserve">Customer remarks</t>
  </si>
  <si>
    <t xml:space="preserve">Minor snags accepted with fix date</t>
  </si>
  <si>
    <t xml:space="preserve">Customer signature</t>
  </si>
  <si>
    <t xml:space="preserve">Company representative signature</t>
  </si>
  <si>
    <t xml:space="preserve">Handover date</t>
  </si>
  <si>
    <t xml:space="preserve">Fill yellow cells from row 6 down. Copy columns A-E (with header row) and paste into the app: Setup &gt; Apartment list.</t>
  </si>
  <si>
    <t xml:space="preserve">Tower</t>
  </si>
  <si>
    <t xml:space="preserve">Floor</t>
  </si>
  <si>
    <t xml:space="preserve">Flat no.</t>
  </si>
  <si>
    <t xml:space="preserve">Type</t>
  </si>
  <si>
    <t xml:space="preserve">Carpet area (sq ft)</t>
  </si>
  <si>
    <t xml:space="preserve">T1</t>
  </si>
  <si>
    <t xml:space="preserve">Example row: delete before pasting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</si>
</sst>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4A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3D6B63"/>
      <name val="Arial"/>
      <family val="0"/>
      <charset val="1"/>
    </font>
    <font>
      <b val="true"/>
      <sz val="10"/>
      <color rgb="FFB26A00"/>
      <name val="Arial"/>
      <family val="0"/>
      <charset val="1"/>
    </font>
    <font>
      <b val="true"/>
      <sz val="10"/>
      <color rgb="FFB3261E"/>
      <name val="Arial"/>
      <family val="0"/>
      <charset val="1"/>
    </font>
    <font>
      <i val="true"/>
      <sz val="10"/>
      <color rgb="FF777777"/>
      <name val="Arial"/>
      <family val="0"/>
      <charset val="1"/>
    </font>
    <font>
      <i val="true"/>
      <sz val="9"/>
      <color rgb="FF777777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  <fill>
      <patternFill patternType="solid">
        <fgColor rgb="FFEEF4F3"/>
        <bgColor rgb="FFFFFFFF"/>
      </patternFill>
    </fill>
    <fill>
      <patternFill patternType="solid">
        <fgColor rgb="FFFFF6D5"/>
        <bgColor rgb="FFEEF4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6D4"/>
      </left>
      <right style="thin">
        <color rgb="FFC9D6D4"/>
      </right>
      <top style="thin">
        <color rgb="FFC9D6D4"/>
      </top>
      <bottom style="thin">
        <color rgb="FFC9D6D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4E4A"/>
          <bgColor rgb="FF000000"/>
        </patternFill>
      </fill>
    </dxf>
    <dxf>
      <fill>
        <patternFill patternType="solid">
          <fgColor rgb="FFEEF4F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D6B63"/>
          <bgColor rgb="FF000000"/>
        </patternFill>
      </fill>
    </dxf>
    <dxf>
      <fill>
        <patternFill patternType="solid">
          <fgColor rgb="FFB26A00"/>
          <bgColor rgb="FF000000"/>
        </patternFill>
      </fill>
    </dxf>
    <dxf>
      <fill>
        <patternFill patternType="solid">
          <fgColor rgb="FFB326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26A00"/>
      <rgbColor rgb="FF800080"/>
      <rgbColor rgb="FF008080"/>
      <rgbColor rgb="FFC0C0C0"/>
      <rgbColor rgb="FF777777"/>
      <rgbColor rgb="FF9999FF"/>
      <rgbColor rgb="FF993366"/>
      <rgbColor rgb="FFFFF6D5"/>
      <rgbColor rgb="FFEEF4F3"/>
      <rgbColor rgb="FF660066"/>
      <rgbColor rgb="FFFF8080"/>
      <rgbColor rgb="FF0066CC"/>
      <rgbColor rgb="FFC9D6D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D6B63"/>
      <rgbColor rgb="FF003300"/>
      <rgbColor rgb="FF333300"/>
      <rgbColor rgb="FFB3261E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3.8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4" t="s">
        <v>9</v>
      </c>
    </row>
    <row r="8" customFormat="false" ht="15" hidden="false" customHeight="false" outlineLevel="0" collapsed="false">
      <c r="A8" s="3" t="s">
        <v>10</v>
      </c>
      <c r="B8" s="4" t="s">
        <v>11</v>
      </c>
    </row>
    <row r="9" customFormat="false" ht="15" hidden="false" customHeight="false" outlineLevel="0" collapsed="false">
      <c r="A9" s="3" t="s">
        <v>12</v>
      </c>
      <c r="B9" s="4" t="s">
        <v>13</v>
      </c>
    </row>
    <row r="10" customFormat="false" ht="15" hidden="false" customHeight="false" outlineLevel="0" collapsed="false">
      <c r="A10" s="3"/>
      <c r="B10" s="4"/>
    </row>
    <row r="11" customFormat="false" ht="23.85" hidden="false" customHeight="false" outlineLevel="0" collapsed="false">
      <c r="A11" s="3" t="s">
        <v>14</v>
      </c>
      <c r="B11" s="4" t="s">
        <v>15</v>
      </c>
    </row>
    <row r="12" customFormat="false" ht="23.85" hidden="false" customHeight="false" outlineLevel="0" collapsed="false">
      <c r="A12" s="3" t="s">
        <v>16</v>
      </c>
      <c r="B1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4" min="3" style="0" width="60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36"/>
  </cols>
  <sheetData>
    <row r="1" customFormat="false" ht="17.35" hidden="false" customHeight="false" outlineLevel="0" collapsed="false">
      <c r="A1" s="1" t="s">
        <v>18</v>
      </c>
    </row>
    <row r="2" customFormat="false" ht="15" hidden="false" customHeight="false" outlineLevel="0" collapsed="false">
      <c r="A2" s="2" t="s">
        <v>19</v>
      </c>
    </row>
    <row r="4" customFormat="false" ht="15" hidden="false" customHeight="false" outlineLevel="0" collapsed="false">
      <c r="A4" s="5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8</v>
      </c>
      <c r="G4" s="5" t="s">
        <v>25</v>
      </c>
    </row>
    <row r="5" customFormat="false" ht="35.05" hidden="false" customHeight="false" outlineLevel="0" collapsed="false">
      <c r="A5" s="6" t="s">
        <v>26</v>
      </c>
      <c r="B5" s="6" t="s">
        <v>27</v>
      </c>
      <c r="C5" s="6" t="s">
        <v>28</v>
      </c>
      <c r="D5" s="6" t="s">
        <v>29</v>
      </c>
      <c r="E5" s="6" t="s">
        <v>30</v>
      </c>
      <c r="F5" s="7" t="s">
        <v>31</v>
      </c>
      <c r="G5" s="6" t="s">
        <v>32</v>
      </c>
    </row>
    <row r="6" customFormat="false" ht="35.05" hidden="false" customHeight="false" outlineLevel="0" collapsed="false">
      <c r="A6" s="8" t="s">
        <v>33</v>
      </c>
      <c r="B6" s="8" t="s">
        <v>27</v>
      </c>
      <c r="C6" s="8" t="s">
        <v>34</v>
      </c>
      <c r="D6" s="8" t="s">
        <v>35</v>
      </c>
      <c r="E6" s="8" t="s">
        <v>36</v>
      </c>
      <c r="F6" s="9" t="s">
        <v>37</v>
      </c>
      <c r="G6" s="8" t="s">
        <v>32</v>
      </c>
    </row>
    <row r="7" customFormat="false" ht="35.05" hidden="false" customHeight="false" outlineLevel="0" collapsed="false">
      <c r="A7" s="6" t="s">
        <v>38</v>
      </c>
      <c r="B7" s="6" t="s">
        <v>27</v>
      </c>
      <c r="C7" s="6" t="s">
        <v>39</v>
      </c>
      <c r="D7" s="6" t="s">
        <v>40</v>
      </c>
      <c r="E7" s="6" t="s">
        <v>41</v>
      </c>
      <c r="F7" s="7" t="s">
        <v>31</v>
      </c>
      <c r="G7" s="6" t="s">
        <v>32</v>
      </c>
    </row>
    <row r="8" customFormat="false" ht="35.05" hidden="false" customHeight="false" outlineLevel="0" collapsed="false">
      <c r="A8" s="8" t="s">
        <v>42</v>
      </c>
      <c r="B8" s="8" t="s">
        <v>27</v>
      </c>
      <c r="C8" s="8" t="s">
        <v>43</v>
      </c>
      <c r="D8" s="8" t="s">
        <v>44</v>
      </c>
      <c r="E8" s="8" t="s">
        <v>30</v>
      </c>
      <c r="F8" s="10" t="s">
        <v>31</v>
      </c>
      <c r="G8" s="8" t="s">
        <v>32</v>
      </c>
    </row>
    <row r="9" customFormat="false" ht="35.05" hidden="false" customHeight="false" outlineLevel="0" collapsed="false">
      <c r="A9" s="6" t="s">
        <v>45</v>
      </c>
      <c r="B9" s="6" t="s">
        <v>27</v>
      </c>
      <c r="C9" s="6" t="s">
        <v>46</v>
      </c>
      <c r="D9" s="6" t="s">
        <v>47</v>
      </c>
      <c r="E9" s="6" t="s">
        <v>30</v>
      </c>
      <c r="F9" s="7" t="s">
        <v>31</v>
      </c>
      <c r="G9" s="6" t="s">
        <v>32</v>
      </c>
    </row>
    <row r="10" customFormat="false" ht="35.05" hidden="false" customHeight="false" outlineLevel="0" collapsed="false">
      <c r="A10" s="8" t="s">
        <v>48</v>
      </c>
      <c r="B10" s="8" t="s">
        <v>27</v>
      </c>
      <c r="C10" s="8" t="s">
        <v>49</v>
      </c>
      <c r="D10" s="8" t="s">
        <v>50</v>
      </c>
      <c r="E10" s="8" t="s">
        <v>51</v>
      </c>
      <c r="F10" s="10" t="s">
        <v>31</v>
      </c>
      <c r="G10" s="8" t="s">
        <v>32</v>
      </c>
    </row>
    <row r="11" customFormat="false" ht="35.05" hidden="false" customHeight="false" outlineLevel="0" collapsed="false">
      <c r="A11" s="6" t="s">
        <v>52</v>
      </c>
      <c r="B11" s="6" t="s">
        <v>27</v>
      </c>
      <c r="C11" s="6" t="s">
        <v>53</v>
      </c>
      <c r="D11" s="6" t="s">
        <v>54</v>
      </c>
      <c r="E11" s="6" t="s">
        <v>55</v>
      </c>
      <c r="F11" s="11" t="s">
        <v>56</v>
      </c>
      <c r="G11" s="6" t="s">
        <v>32</v>
      </c>
    </row>
    <row r="12" customFormat="false" ht="23.85" hidden="false" customHeight="false" outlineLevel="0" collapsed="false">
      <c r="A12" s="8" t="s">
        <v>57</v>
      </c>
      <c r="B12" s="8" t="s">
        <v>58</v>
      </c>
      <c r="C12" s="8" t="s">
        <v>59</v>
      </c>
      <c r="D12" s="8" t="s">
        <v>60</v>
      </c>
      <c r="E12" s="8" t="s">
        <v>30</v>
      </c>
      <c r="F12" s="10" t="s">
        <v>31</v>
      </c>
      <c r="G12" s="8" t="s">
        <v>61</v>
      </c>
    </row>
    <row r="13" customFormat="false" ht="23.85" hidden="false" customHeight="false" outlineLevel="0" collapsed="false">
      <c r="A13" s="6" t="s">
        <v>62</v>
      </c>
      <c r="B13" s="6" t="s">
        <v>58</v>
      </c>
      <c r="C13" s="6" t="s">
        <v>63</v>
      </c>
      <c r="D13" s="6" t="s">
        <v>64</v>
      </c>
      <c r="E13" s="6" t="s">
        <v>30</v>
      </c>
      <c r="F13" s="12" t="s">
        <v>37</v>
      </c>
      <c r="G13" s="6" t="s">
        <v>61</v>
      </c>
    </row>
    <row r="14" customFormat="false" ht="23.85" hidden="false" customHeight="false" outlineLevel="0" collapsed="false">
      <c r="A14" s="8" t="s">
        <v>65</v>
      </c>
      <c r="B14" s="8" t="s">
        <v>58</v>
      </c>
      <c r="C14" s="8" t="s">
        <v>66</v>
      </c>
      <c r="D14" s="8" t="s">
        <v>67</v>
      </c>
      <c r="E14" s="8" t="s">
        <v>30</v>
      </c>
      <c r="F14" s="9" t="s">
        <v>37</v>
      </c>
      <c r="G14" s="8" t="s">
        <v>61</v>
      </c>
    </row>
    <row r="15" customFormat="false" ht="23.85" hidden="false" customHeight="false" outlineLevel="0" collapsed="false">
      <c r="A15" s="6" t="s">
        <v>68</v>
      </c>
      <c r="B15" s="6" t="s">
        <v>58</v>
      </c>
      <c r="C15" s="6" t="s">
        <v>69</v>
      </c>
      <c r="D15" s="6" t="s">
        <v>70</v>
      </c>
      <c r="E15" s="6" t="s">
        <v>30</v>
      </c>
      <c r="F15" s="7" t="s">
        <v>31</v>
      </c>
      <c r="G15" s="6" t="s">
        <v>61</v>
      </c>
    </row>
    <row r="16" customFormat="false" ht="23.85" hidden="false" customHeight="false" outlineLevel="0" collapsed="false">
      <c r="A16" s="8" t="s">
        <v>71</v>
      </c>
      <c r="B16" s="8" t="s">
        <v>58</v>
      </c>
      <c r="C16" s="8" t="s">
        <v>72</v>
      </c>
      <c r="D16" s="8" t="s">
        <v>73</v>
      </c>
      <c r="E16" s="8" t="s">
        <v>41</v>
      </c>
      <c r="F16" s="10" t="s">
        <v>31</v>
      </c>
      <c r="G16" s="8" t="s">
        <v>61</v>
      </c>
    </row>
    <row r="17" customFormat="false" ht="23.85" hidden="false" customHeight="false" outlineLevel="0" collapsed="false">
      <c r="A17" s="6" t="s">
        <v>74</v>
      </c>
      <c r="B17" s="6" t="s">
        <v>58</v>
      </c>
      <c r="C17" s="6" t="s">
        <v>75</v>
      </c>
      <c r="D17" s="6" t="s">
        <v>76</v>
      </c>
      <c r="E17" s="6" t="s">
        <v>41</v>
      </c>
      <c r="F17" s="7" t="s">
        <v>31</v>
      </c>
      <c r="G17" s="6" t="s">
        <v>61</v>
      </c>
    </row>
    <row r="18" customFormat="false" ht="23.85" hidden="false" customHeight="false" outlineLevel="0" collapsed="false">
      <c r="A18" s="8" t="s">
        <v>77</v>
      </c>
      <c r="B18" s="8" t="s">
        <v>58</v>
      </c>
      <c r="C18" s="8" t="s">
        <v>78</v>
      </c>
      <c r="D18" s="8" t="s">
        <v>79</v>
      </c>
      <c r="E18" s="8" t="s">
        <v>36</v>
      </c>
      <c r="F18" s="9" t="s">
        <v>37</v>
      </c>
      <c r="G18" s="8" t="s">
        <v>61</v>
      </c>
    </row>
    <row r="19" customFormat="false" ht="23.85" hidden="false" customHeight="false" outlineLevel="0" collapsed="false">
      <c r="A19" s="6" t="s">
        <v>80</v>
      </c>
      <c r="B19" s="6" t="s">
        <v>58</v>
      </c>
      <c r="C19" s="6" t="s">
        <v>81</v>
      </c>
      <c r="D19" s="6" t="s">
        <v>76</v>
      </c>
      <c r="E19" s="6" t="s">
        <v>30</v>
      </c>
      <c r="F19" s="7" t="s">
        <v>31</v>
      </c>
      <c r="G19" s="6" t="s">
        <v>61</v>
      </c>
    </row>
    <row r="20" customFormat="false" ht="23.85" hidden="false" customHeight="false" outlineLevel="0" collapsed="false">
      <c r="A20" s="8" t="s">
        <v>82</v>
      </c>
      <c r="B20" s="8" t="s">
        <v>58</v>
      </c>
      <c r="C20" s="8" t="s">
        <v>83</v>
      </c>
      <c r="D20" s="8" t="s">
        <v>76</v>
      </c>
      <c r="E20" s="8" t="s">
        <v>84</v>
      </c>
      <c r="F20" s="10" t="s">
        <v>31</v>
      </c>
      <c r="G20" s="8" t="s">
        <v>61</v>
      </c>
    </row>
    <row r="21" customFormat="false" ht="23.85" hidden="false" customHeight="false" outlineLevel="0" collapsed="false">
      <c r="A21" s="6" t="s">
        <v>85</v>
      </c>
      <c r="B21" s="6" t="s">
        <v>86</v>
      </c>
      <c r="C21" s="6" t="s">
        <v>87</v>
      </c>
      <c r="D21" s="6" t="s">
        <v>88</v>
      </c>
      <c r="E21" s="6" t="s">
        <v>89</v>
      </c>
      <c r="F21" s="7" t="s">
        <v>31</v>
      </c>
      <c r="G21" s="6" t="s">
        <v>90</v>
      </c>
    </row>
    <row r="22" customFormat="false" ht="23.85" hidden="false" customHeight="false" outlineLevel="0" collapsed="false">
      <c r="A22" s="8" t="s">
        <v>91</v>
      </c>
      <c r="B22" s="8" t="s">
        <v>86</v>
      </c>
      <c r="C22" s="8" t="s">
        <v>92</v>
      </c>
      <c r="D22" s="8" t="s">
        <v>93</v>
      </c>
      <c r="E22" s="8" t="s">
        <v>89</v>
      </c>
      <c r="F22" s="9" t="s">
        <v>37</v>
      </c>
      <c r="G22" s="8" t="s">
        <v>90</v>
      </c>
    </row>
    <row r="23" customFormat="false" ht="23.85" hidden="false" customHeight="false" outlineLevel="0" collapsed="false">
      <c r="A23" s="6" t="s">
        <v>94</v>
      </c>
      <c r="B23" s="6" t="s">
        <v>86</v>
      </c>
      <c r="C23" s="6" t="s">
        <v>95</v>
      </c>
      <c r="D23" s="6" t="s">
        <v>96</v>
      </c>
      <c r="E23" s="6" t="s">
        <v>89</v>
      </c>
      <c r="F23" s="7" t="s">
        <v>31</v>
      </c>
      <c r="G23" s="6" t="s">
        <v>90</v>
      </c>
    </row>
    <row r="24" customFormat="false" ht="23.85" hidden="false" customHeight="false" outlineLevel="0" collapsed="false">
      <c r="A24" s="8" t="s">
        <v>97</v>
      </c>
      <c r="B24" s="8" t="s">
        <v>86</v>
      </c>
      <c r="C24" s="8" t="s">
        <v>98</v>
      </c>
      <c r="D24" s="8" t="s">
        <v>99</v>
      </c>
      <c r="E24" s="8" t="s">
        <v>89</v>
      </c>
      <c r="F24" s="10" t="s">
        <v>31</v>
      </c>
      <c r="G24" s="8" t="s">
        <v>90</v>
      </c>
    </row>
    <row r="25" customFormat="false" ht="23.85" hidden="false" customHeight="false" outlineLevel="0" collapsed="false">
      <c r="A25" s="6" t="s">
        <v>100</v>
      </c>
      <c r="B25" s="6" t="s">
        <v>86</v>
      </c>
      <c r="C25" s="6" t="s">
        <v>101</v>
      </c>
      <c r="D25" s="6" t="s">
        <v>76</v>
      </c>
      <c r="E25" s="6" t="s">
        <v>89</v>
      </c>
      <c r="F25" s="12" t="s">
        <v>37</v>
      </c>
      <c r="G25" s="6" t="s">
        <v>90</v>
      </c>
    </row>
    <row r="26" customFormat="false" ht="23.85" hidden="false" customHeight="false" outlineLevel="0" collapsed="false">
      <c r="A26" s="8" t="s">
        <v>102</v>
      </c>
      <c r="B26" s="8" t="s">
        <v>86</v>
      </c>
      <c r="C26" s="8" t="s">
        <v>103</v>
      </c>
      <c r="D26" s="8" t="s">
        <v>104</v>
      </c>
      <c r="E26" s="8" t="s">
        <v>89</v>
      </c>
      <c r="F26" s="10" t="s">
        <v>31</v>
      </c>
      <c r="G26" s="8" t="s">
        <v>90</v>
      </c>
    </row>
    <row r="27" customFormat="false" ht="23.85" hidden="false" customHeight="false" outlineLevel="0" collapsed="false">
      <c r="A27" s="6" t="s">
        <v>105</v>
      </c>
      <c r="B27" s="6" t="s">
        <v>86</v>
      </c>
      <c r="C27" s="6" t="s">
        <v>106</v>
      </c>
      <c r="D27" s="6" t="s">
        <v>76</v>
      </c>
      <c r="E27" s="6" t="s">
        <v>89</v>
      </c>
      <c r="F27" s="7" t="s">
        <v>31</v>
      </c>
      <c r="G27" s="6" t="s">
        <v>90</v>
      </c>
    </row>
    <row r="28" customFormat="false" ht="23.85" hidden="false" customHeight="false" outlineLevel="0" collapsed="false">
      <c r="A28" s="8" t="s">
        <v>107</v>
      </c>
      <c r="B28" s="8" t="s">
        <v>86</v>
      </c>
      <c r="C28" s="8" t="s">
        <v>108</v>
      </c>
      <c r="D28" s="8" t="s">
        <v>109</v>
      </c>
      <c r="E28" s="8" t="s">
        <v>89</v>
      </c>
      <c r="F28" s="10" t="s">
        <v>31</v>
      </c>
      <c r="G28" s="8" t="s">
        <v>90</v>
      </c>
    </row>
    <row r="29" customFormat="false" ht="23.85" hidden="false" customHeight="false" outlineLevel="0" collapsed="false">
      <c r="A29" s="6" t="s">
        <v>110</v>
      </c>
      <c r="B29" s="6" t="s">
        <v>86</v>
      </c>
      <c r="C29" s="6" t="s">
        <v>111</v>
      </c>
      <c r="D29" s="6" t="s">
        <v>76</v>
      </c>
      <c r="E29" s="6" t="s">
        <v>112</v>
      </c>
      <c r="F29" s="7" t="s">
        <v>31</v>
      </c>
      <c r="G29" s="6" t="s">
        <v>90</v>
      </c>
    </row>
    <row r="30" customFormat="false" ht="23.85" hidden="false" customHeight="false" outlineLevel="0" collapsed="false">
      <c r="A30" s="8" t="s">
        <v>113</v>
      </c>
      <c r="B30" s="8" t="s">
        <v>114</v>
      </c>
      <c r="C30" s="8" t="s">
        <v>115</v>
      </c>
      <c r="D30" s="8" t="s">
        <v>116</v>
      </c>
      <c r="E30" s="8" t="s">
        <v>89</v>
      </c>
      <c r="F30" s="10" t="s">
        <v>31</v>
      </c>
      <c r="G30" s="8" t="s">
        <v>61</v>
      </c>
    </row>
    <row r="31" customFormat="false" ht="23.85" hidden="false" customHeight="false" outlineLevel="0" collapsed="false">
      <c r="A31" s="6" t="s">
        <v>117</v>
      </c>
      <c r="B31" s="6" t="s">
        <v>114</v>
      </c>
      <c r="C31" s="6" t="s">
        <v>118</v>
      </c>
      <c r="D31" s="6" t="s">
        <v>76</v>
      </c>
      <c r="E31" s="6" t="s">
        <v>89</v>
      </c>
      <c r="F31" s="7" t="s">
        <v>31</v>
      </c>
      <c r="G31" s="6" t="s">
        <v>61</v>
      </c>
    </row>
    <row r="32" customFormat="false" ht="23.85" hidden="false" customHeight="false" outlineLevel="0" collapsed="false">
      <c r="A32" s="8" t="s">
        <v>119</v>
      </c>
      <c r="B32" s="8" t="s">
        <v>114</v>
      </c>
      <c r="C32" s="8" t="s">
        <v>120</v>
      </c>
      <c r="D32" s="8" t="s">
        <v>121</v>
      </c>
      <c r="E32" s="8" t="s">
        <v>89</v>
      </c>
      <c r="F32" s="10" t="s">
        <v>31</v>
      </c>
      <c r="G32" s="8" t="s">
        <v>61</v>
      </c>
    </row>
    <row r="33" customFormat="false" ht="15" hidden="false" customHeight="false" outlineLevel="0" collapsed="false">
      <c r="A33" s="6" t="s">
        <v>122</v>
      </c>
      <c r="B33" s="6" t="s">
        <v>123</v>
      </c>
      <c r="C33" s="6" t="s">
        <v>124</v>
      </c>
      <c r="D33" s="6" t="s">
        <v>125</v>
      </c>
      <c r="E33" s="6" t="s">
        <v>126</v>
      </c>
      <c r="F33" s="7" t="s">
        <v>31</v>
      </c>
      <c r="G33" s="6" t="s">
        <v>127</v>
      </c>
    </row>
    <row r="34" customFormat="false" ht="15" hidden="false" customHeight="false" outlineLevel="0" collapsed="false">
      <c r="A34" s="8" t="s">
        <v>128</v>
      </c>
      <c r="B34" s="8" t="s">
        <v>123</v>
      </c>
      <c r="C34" s="8" t="s">
        <v>129</v>
      </c>
      <c r="D34" s="8" t="s">
        <v>130</v>
      </c>
      <c r="E34" s="8" t="s">
        <v>126</v>
      </c>
      <c r="F34" s="9" t="s">
        <v>37</v>
      </c>
      <c r="G34" s="8" t="s">
        <v>127</v>
      </c>
    </row>
    <row r="35" customFormat="false" ht="23.85" hidden="false" customHeight="false" outlineLevel="0" collapsed="false">
      <c r="A35" s="6" t="s">
        <v>131</v>
      </c>
      <c r="B35" s="6" t="s">
        <v>123</v>
      </c>
      <c r="C35" s="6" t="s">
        <v>132</v>
      </c>
      <c r="D35" s="6" t="s">
        <v>133</v>
      </c>
      <c r="E35" s="6" t="s">
        <v>126</v>
      </c>
      <c r="F35" s="7" t="s">
        <v>31</v>
      </c>
      <c r="G35" s="6" t="s">
        <v>127</v>
      </c>
    </row>
    <row r="36" customFormat="false" ht="23.85" hidden="false" customHeight="false" outlineLevel="0" collapsed="false">
      <c r="A36" s="8" t="s">
        <v>134</v>
      </c>
      <c r="B36" s="8" t="s">
        <v>123</v>
      </c>
      <c r="C36" s="8" t="s">
        <v>135</v>
      </c>
      <c r="D36" s="8" t="s">
        <v>136</v>
      </c>
      <c r="E36" s="8" t="s">
        <v>126</v>
      </c>
      <c r="F36" s="10" t="s">
        <v>31</v>
      </c>
      <c r="G36" s="8" t="s">
        <v>127</v>
      </c>
    </row>
    <row r="37" customFormat="false" ht="15" hidden="false" customHeight="false" outlineLevel="0" collapsed="false">
      <c r="A37" s="6" t="s">
        <v>137</v>
      </c>
      <c r="B37" s="6" t="s">
        <v>123</v>
      </c>
      <c r="C37" s="6" t="s">
        <v>138</v>
      </c>
      <c r="D37" s="6" t="s">
        <v>139</v>
      </c>
      <c r="E37" s="6" t="s">
        <v>126</v>
      </c>
      <c r="F37" s="7" t="s">
        <v>31</v>
      </c>
      <c r="G37" s="6" t="s">
        <v>127</v>
      </c>
    </row>
    <row r="38" customFormat="false" ht="15" hidden="false" customHeight="false" outlineLevel="0" collapsed="false">
      <c r="A38" s="8" t="s">
        <v>140</v>
      </c>
      <c r="B38" s="8" t="s">
        <v>123</v>
      </c>
      <c r="C38" s="8" t="s">
        <v>141</v>
      </c>
      <c r="D38" s="8" t="s">
        <v>142</v>
      </c>
      <c r="E38" s="8" t="s">
        <v>126</v>
      </c>
      <c r="F38" s="10" t="s">
        <v>31</v>
      </c>
      <c r="G38" s="8" t="s">
        <v>127</v>
      </c>
    </row>
    <row r="39" customFormat="false" ht="15" hidden="false" customHeight="false" outlineLevel="0" collapsed="false">
      <c r="A39" s="6" t="s">
        <v>143</v>
      </c>
      <c r="B39" s="6" t="s">
        <v>123</v>
      </c>
      <c r="C39" s="6" t="s">
        <v>144</v>
      </c>
      <c r="D39" s="6" t="s">
        <v>145</v>
      </c>
      <c r="E39" s="6" t="s">
        <v>126</v>
      </c>
      <c r="F39" s="12" t="s">
        <v>37</v>
      </c>
      <c r="G39" s="6" t="s">
        <v>127</v>
      </c>
    </row>
    <row r="40" customFormat="false" ht="15" hidden="false" customHeight="false" outlineLevel="0" collapsed="false">
      <c r="A40" s="8" t="s">
        <v>146</v>
      </c>
      <c r="B40" s="8" t="s">
        <v>123</v>
      </c>
      <c r="C40" s="8" t="s">
        <v>147</v>
      </c>
      <c r="D40" s="8" t="s">
        <v>148</v>
      </c>
      <c r="E40" s="8" t="s">
        <v>126</v>
      </c>
      <c r="F40" s="10" t="s">
        <v>31</v>
      </c>
      <c r="G40" s="8" t="s">
        <v>127</v>
      </c>
    </row>
    <row r="41" customFormat="false" ht="15" hidden="false" customHeight="false" outlineLevel="0" collapsed="false">
      <c r="A41" s="6" t="s">
        <v>149</v>
      </c>
      <c r="B41" s="6" t="s">
        <v>123</v>
      </c>
      <c r="C41" s="6" t="s">
        <v>150</v>
      </c>
      <c r="D41" s="6" t="s">
        <v>151</v>
      </c>
      <c r="E41" s="6" t="s">
        <v>126</v>
      </c>
      <c r="F41" s="7" t="s">
        <v>31</v>
      </c>
      <c r="G41" s="6" t="s">
        <v>127</v>
      </c>
    </row>
    <row r="42" customFormat="false" ht="15" hidden="false" customHeight="false" outlineLevel="0" collapsed="false">
      <c r="A42" s="8" t="s">
        <v>152</v>
      </c>
      <c r="B42" s="8" t="s">
        <v>123</v>
      </c>
      <c r="C42" s="8" t="s">
        <v>153</v>
      </c>
      <c r="D42" s="8" t="s">
        <v>154</v>
      </c>
      <c r="E42" s="8" t="s">
        <v>126</v>
      </c>
      <c r="F42" s="9" t="s">
        <v>37</v>
      </c>
      <c r="G42" s="8" t="s">
        <v>127</v>
      </c>
    </row>
    <row r="43" customFormat="false" ht="15" hidden="false" customHeight="false" outlineLevel="0" collapsed="false">
      <c r="A43" s="6" t="s">
        <v>155</v>
      </c>
      <c r="B43" s="6" t="s">
        <v>156</v>
      </c>
      <c r="C43" s="6" t="s">
        <v>157</v>
      </c>
      <c r="D43" s="6" t="s">
        <v>158</v>
      </c>
      <c r="E43" s="6" t="s">
        <v>126</v>
      </c>
      <c r="F43" s="12" t="s">
        <v>37</v>
      </c>
      <c r="G43" s="6" t="s">
        <v>159</v>
      </c>
    </row>
    <row r="44" customFormat="false" ht="15" hidden="false" customHeight="false" outlineLevel="0" collapsed="false">
      <c r="A44" s="8" t="s">
        <v>160</v>
      </c>
      <c r="B44" s="8" t="s">
        <v>156</v>
      </c>
      <c r="C44" s="8" t="s">
        <v>161</v>
      </c>
      <c r="D44" s="8" t="s">
        <v>162</v>
      </c>
      <c r="E44" s="8" t="s">
        <v>126</v>
      </c>
      <c r="F44" s="9" t="s">
        <v>37</v>
      </c>
      <c r="G44" s="8" t="s">
        <v>159</v>
      </c>
    </row>
    <row r="45" customFormat="false" ht="15" hidden="false" customHeight="false" outlineLevel="0" collapsed="false">
      <c r="A45" s="6" t="s">
        <v>163</v>
      </c>
      <c r="B45" s="6" t="s">
        <v>156</v>
      </c>
      <c r="C45" s="6" t="s">
        <v>164</v>
      </c>
      <c r="D45" s="6" t="s">
        <v>165</v>
      </c>
      <c r="E45" s="6" t="s">
        <v>126</v>
      </c>
      <c r="F45" s="7" t="s">
        <v>31</v>
      </c>
      <c r="G45" s="6" t="s">
        <v>159</v>
      </c>
    </row>
    <row r="46" customFormat="false" ht="15" hidden="false" customHeight="false" outlineLevel="0" collapsed="false">
      <c r="A46" s="8" t="s">
        <v>166</v>
      </c>
      <c r="B46" s="8" t="s">
        <v>156</v>
      </c>
      <c r="C46" s="8" t="s">
        <v>167</v>
      </c>
      <c r="D46" s="8" t="s">
        <v>168</v>
      </c>
      <c r="E46" s="8" t="s">
        <v>126</v>
      </c>
      <c r="F46" s="10" t="s">
        <v>31</v>
      </c>
      <c r="G46" s="8" t="s">
        <v>159</v>
      </c>
    </row>
    <row r="47" customFormat="false" ht="15" hidden="false" customHeight="false" outlineLevel="0" collapsed="false">
      <c r="A47" s="6" t="s">
        <v>169</v>
      </c>
      <c r="B47" s="6" t="s">
        <v>156</v>
      </c>
      <c r="C47" s="6" t="s">
        <v>170</v>
      </c>
      <c r="D47" s="6" t="s">
        <v>76</v>
      </c>
      <c r="E47" s="6" t="s">
        <v>84</v>
      </c>
      <c r="F47" s="7" t="s">
        <v>31</v>
      </c>
      <c r="G47" s="6" t="s">
        <v>159</v>
      </c>
    </row>
    <row r="48" customFormat="false" ht="15" hidden="false" customHeight="false" outlineLevel="0" collapsed="false">
      <c r="A48" s="8" t="s">
        <v>171</v>
      </c>
      <c r="B48" s="8" t="s">
        <v>156</v>
      </c>
      <c r="C48" s="8" t="s">
        <v>172</v>
      </c>
      <c r="D48" s="8" t="s">
        <v>76</v>
      </c>
      <c r="E48" s="8" t="s">
        <v>89</v>
      </c>
      <c r="F48" s="10" t="s">
        <v>31</v>
      </c>
      <c r="G48" s="8" t="s">
        <v>159</v>
      </c>
    </row>
    <row r="49" customFormat="false" ht="15" hidden="false" customHeight="false" outlineLevel="0" collapsed="false">
      <c r="A49" s="6" t="s">
        <v>173</v>
      </c>
      <c r="B49" s="6" t="s">
        <v>156</v>
      </c>
      <c r="C49" s="6" t="s">
        <v>174</v>
      </c>
      <c r="D49" s="6" t="s">
        <v>76</v>
      </c>
      <c r="E49" s="6" t="s">
        <v>126</v>
      </c>
      <c r="F49" s="7" t="s">
        <v>31</v>
      </c>
      <c r="G49" s="6" t="s">
        <v>159</v>
      </c>
    </row>
    <row r="50" customFormat="false" ht="23.85" hidden="false" customHeight="false" outlineLevel="0" collapsed="false">
      <c r="A50" s="8" t="s">
        <v>175</v>
      </c>
      <c r="B50" s="8" t="s">
        <v>176</v>
      </c>
      <c r="C50" s="8" t="s">
        <v>177</v>
      </c>
      <c r="D50" s="8" t="s">
        <v>178</v>
      </c>
      <c r="E50" s="8" t="s">
        <v>179</v>
      </c>
      <c r="F50" s="10" t="s">
        <v>31</v>
      </c>
      <c r="G50" s="8" t="s">
        <v>180</v>
      </c>
    </row>
    <row r="51" customFormat="false" ht="23.85" hidden="false" customHeight="false" outlineLevel="0" collapsed="false">
      <c r="A51" s="6" t="s">
        <v>181</v>
      </c>
      <c r="B51" s="6" t="s">
        <v>176</v>
      </c>
      <c r="C51" s="6" t="s">
        <v>182</v>
      </c>
      <c r="D51" s="6" t="s">
        <v>183</v>
      </c>
      <c r="E51" s="6" t="s">
        <v>179</v>
      </c>
      <c r="F51" s="12" t="s">
        <v>37</v>
      </c>
      <c r="G51" s="6" t="s">
        <v>180</v>
      </c>
    </row>
    <row r="52" customFormat="false" ht="23.85" hidden="false" customHeight="false" outlineLevel="0" collapsed="false">
      <c r="A52" s="8" t="s">
        <v>184</v>
      </c>
      <c r="B52" s="8" t="s">
        <v>176</v>
      </c>
      <c r="C52" s="8" t="s">
        <v>185</v>
      </c>
      <c r="D52" s="8" t="s">
        <v>186</v>
      </c>
      <c r="E52" s="8" t="s">
        <v>179</v>
      </c>
      <c r="F52" s="9" t="s">
        <v>37</v>
      </c>
      <c r="G52" s="8" t="s">
        <v>180</v>
      </c>
    </row>
    <row r="53" customFormat="false" ht="23.85" hidden="false" customHeight="false" outlineLevel="0" collapsed="false">
      <c r="A53" s="6" t="s">
        <v>187</v>
      </c>
      <c r="B53" s="6" t="s">
        <v>176</v>
      </c>
      <c r="C53" s="6" t="s">
        <v>188</v>
      </c>
      <c r="D53" s="6" t="s">
        <v>189</v>
      </c>
      <c r="E53" s="6" t="s">
        <v>179</v>
      </c>
      <c r="F53" s="7" t="s">
        <v>31</v>
      </c>
      <c r="G53" s="6" t="s">
        <v>180</v>
      </c>
    </row>
    <row r="54" customFormat="false" ht="23.85" hidden="false" customHeight="false" outlineLevel="0" collapsed="false">
      <c r="A54" s="8" t="s">
        <v>190</v>
      </c>
      <c r="B54" s="8" t="s">
        <v>176</v>
      </c>
      <c r="C54" s="8" t="s">
        <v>191</v>
      </c>
      <c r="D54" s="8" t="s">
        <v>192</v>
      </c>
      <c r="E54" s="8" t="s">
        <v>179</v>
      </c>
      <c r="F54" s="10" t="s">
        <v>31</v>
      </c>
      <c r="G54" s="8" t="s">
        <v>180</v>
      </c>
    </row>
    <row r="55" customFormat="false" ht="23.85" hidden="false" customHeight="false" outlineLevel="0" collapsed="false">
      <c r="A55" s="6" t="s">
        <v>193</v>
      </c>
      <c r="B55" s="6" t="s">
        <v>176</v>
      </c>
      <c r="C55" s="6" t="s">
        <v>194</v>
      </c>
      <c r="D55" s="6" t="s">
        <v>76</v>
      </c>
      <c r="E55" s="6" t="s">
        <v>195</v>
      </c>
      <c r="F55" s="12" t="s">
        <v>37</v>
      </c>
      <c r="G55" s="6" t="s">
        <v>180</v>
      </c>
    </row>
    <row r="56" customFormat="false" ht="23.85" hidden="false" customHeight="false" outlineLevel="0" collapsed="false">
      <c r="A56" s="8" t="s">
        <v>196</v>
      </c>
      <c r="B56" s="8" t="s">
        <v>176</v>
      </c>
      <c r="C56" s="8" t="s">
        <v>197</v>
      </c>
      <c r="D56" s="8" t="s">
        <v>198</v>
      </c>
      <c r="E56" s="8" t="s">
        <v>195</v>
      </c>
      <c r="F56" s="10" t="s">
        <v>31</v>
      </c>
      <c r="G56" s="8" t="s">
        <v>180</v>
      </c>
    </row>
    <row r="57" customFormat="false" ht="23.85" hidden="false" customHeight="false" outlineLevel="0" collapsed="false">
      <c r="A57" s="6" t="s">
        <v>199</v>
      </c>
      <c r="B57" s="6" t="s">
        <v>176</v>
      </c>
      <c r="C57" s="6" t="s">
        <v>200</v>
      </c>
      <c r="D57" s="6" t="s">
        <v>201</v>
      </c>
      <c r="E57" s="6" t="s">
        <v>179</v>
      </c>
      <c r="F57" s="7" t="s">
        <v>31</v>
      </c>
      <c r="G57" s="6" t="s">
        <v>180</v>
      </c>
    </row>
    <row r="58" customFormat="false" ht="23.85" hidden="false" customHeight="false" outlineLevel="0" collapsed="false">
      <c r="A58" s="8" t="s">
        <v>202</v>
      </c>
      <c r="B58" s="8" t="s">
        <v>176</v>
      </c>
      <c r="C58" s="8" t="s">
        <v>203</v>
      </c>
      <c r="D58" s="8" t="s">
        <v>204</v>
      </c>
      <c r="E58" s="8" t="s">
        <v>179</v>
      </c>
      <c r="F58" s="9" t="s">
        <v>37</v>
      </c>
      <c r="G58" s="8" t="s">
        <v>180</v>
      </c>
    </row>
    <row r="59" customFormat="false" ht="23.85" hidden="false" customHeight="false" outlineLevel="0" collapsed="false">
      <c r="A59" s="6" t="s">
        <v>205</v>
      </c>
      <c r="B59" s="6" t="s">
        <v>176</v>
      </c>
      <c r="C59" s="6" t="s">
        <v>206</v>
      </c>
      <c r="D59" s="6" t="s">
        <v>207</v>
      </c>
      <c r="E59" s="6" t="s">
        <v>179</v>
      </c>
      <c r="F59" s="7" t="s">
        <v>31</v>
      </c>
      <c r="G59" s="6" t="s">
        <v>180</v>
      </c>
    </row>
    <row r="60" customFormat="false" ht="23.85" hidden="false" customHeight="false" outlineLevel="0" collapsed="false">
      <c r="A60" s="8" t="s">
        <v>208</v>
      </c>
      <c r="B60" s="8" t="s">
        <v>176</v>
      </c>
      <c r="C60" s="8" t="s">
        <v>209</v>
      </c>
      <c r="D60" s="8" t="s">
        <v>210</v>
      </c>
      <c r="E60" s="8" t="s">
        <v>89</v>
      </c>
      <c r="F60" s="10" t="s">
        <v>31</v>
      </c>
      <c r="G60" s="8" t="s">
        <v>180</v>
      </c>
    </row>
    <row r="61" customFormat="false" ht="23.85" hidden="false" customHeight="false" outlineLevel="0" collapsed="false">
      <c r="A61" s="6" t="s">
        <v>211</v>
      </c>
      <c r="B61" s="6" t="s">
        <v>176</v>
      </c>
      <c r="C61" s="6" t="s">
        <v>212</v>
      </c>
      <c r="D61" s="6" t="s">
        <v>213</v>
      </c>
      <c r="E61" s="6" t="s">
        <v>214</v>
      </c>
      <c r="F61" s="11" t="s">
        <v>56</v>
      </c>
      <c r="G61" s="6" t="s">
        <v>180</v>
      </c>
    </row>
    <row r="62" customFormat="false" ht="23.85" hidden="false" customHeight="false" outlineLevel="0" collapsed="false">
      <c r="A62" s="8" t="s">
        <v>215</v>
      </c>
      <c r="B62" s="8" t="s">
        <v>176</v>
      </c>
      <c r="C62" s="8" t="s">
        <v>216</v>
      </c>
      <c r="D62" s="8" t="s">
        <v>76</v>
      </c>
      <c r="E62" s="8" t="s">
        <v>112</v>
      </c>
      <c r="F62" s="10" t="s">
        <v>31</v>
      </c>
      <c r="G62" s="8" t="s">
        <v>180</v>
      </c>
    </row>
    <row r="63" customFormat="false" ht="23.85" hidden="false" customHeight="false" outlineLevel="0" collapsed="false">
      <c r="A63" s="6" t="s">
        <v>217</v>
      </c>
      <c r="B63" s="6" t="s">
        <v>218</v>
      </c>
      <c r="C63" s="6" t="s">
        <v>219</v>
      </c>
      <c r="D63" s="6" t="s">
        <v>50</v>
      </c>
      <c r="E63" s="6" t="s">
        <v>51</v>
      </c>
      <c r="F63" s="7" t="s">
        <v>31</v>
      </c>
      <c r="G63" s="6" t="s">
        <v>220</v>
      </c>
    </row>
    <row r="64" customFormat="false" ht="23.85" hidden="false" customHeight="false" outlineLevel="0" collapsed="false">
      <c r="A64" s="8" t="s">
        <v>221</v>
      </c>
      <c r="B64" s="8" t="s">
        <v>218</v>
      </c>
      <c r="C64" s="8" t="s">
        <v>222</v>
      </c>
      <c r="D64" s="8" t="s">
        <v>76</v>
      </c>
      <c r="E64" s="8" t="s">
        <v>51</v>
      </c>
      <c r="F64" s="10" t="s">
        <v>31</v>
      </c>
      <c r="G64" s="8" t="s">
        <v>220</v>
      </c>
    </row>
    <row r="65" customFormat="false" ht="23.85" hidden="false" customHeight="false" outlineLevel="0" collapsed="false">
      <c r="A65" s="6" t="s">
        <v>223</v>
      </c>
      <c r="B65" s="6" t="s">
        <v>218</v>
      </c>
      <c r="C65" s="6" t="s">
        <v>224</v>
      </c>
      <c r="D65" s="6" t="s">
        <v>225</v>
      </c>
      <c r="E65" s="6" t="s">
        <v>51</v>
      </c>
      <c r="F65" s="12" t="s">
        <v>37</v>
      </c>
      <c r="G65" s="6" t="s">
        <v>220</v>
      </c>
    </row>
    <row r="66" customFormat="false" ht="23.85" hidden="false" customHeight="false" outlineLevel="0" collapsed="false">
      <c r="A66" s="8" t="s">
        <v>226</v>
      </c>
      <c r="B66" s="8" t="s">
        <v>218</v>
      </c>
      <c r="C66" s="8" t="s">
        <v>227</v>
      </c>
      <c r="D66" s="8" t="s">
        <v>228</v>
      </c>
      <c r="E66" s="8" t="s">
        <v>51</v>
      </c>
      <c r="F66" s="9" t="s">
        <v>37</v>
      </c>
      <c r="G66" s="8" t="s">
        <v>220</v>
      </c>
    </row>
    <row r="67" customFormat="false" ht="23.85" hidden="false" customHeight="false" outlineLevel="0" collapsed="false">
      <c r="A67" s="6" t="s">
        <v>229</v>
      </c>
      <c r="B67" s="6" t="s">
        <v>218</v>
      </c>
      <c r="C67" s="6" t="s">
        <v>230</v>
      </c>
      <c r="D67" s="6" t="s">
        <v>76</v>
      </c>
      <c r="E67" s="6" t="s">
        <v>51</v>
      </c>
      <c r="F67" s="11" t="s">
        <v>56</v>
      </c>
      <c r="G67" s="6" t="s">
        <v>220</v>
      </c>
    </row>
    <row r="68" customFormat="false" ht="23.85" hidden="false" customHeight="false" outlineLevel="0" collapsed="false">
      <c r="A68" s="8" t="s">
        <v>231</v>
      </c>
      <c r="B68" s="8" t="s">
        <v>218</v>
      </c>
      <c r="C68" s="8" t="s">
        <v>232</v>
      </c>
      <c r="D68" s="8" t="s">
        <v>76</v>
      </c>
      <c r="E68" s="8" t="s">
        <v>51</v>
      </c>
      <c r="F68" s="10" t="s">
        <v>31</v>
      </c>
      <c r="G68" s="8" t="s">
        <v>220</v>
      </c>
    </row>
    <row r="69" customFormat="false" ht="15" hidden="false" customHeight="false" outlineLevel="0" collapsed="false">
      <c r="A69" s="6" t="s">
        <v>233</v>
      </c>
      <c r="B69" s="6" t="s">
        <v>234</v>
      </c>
      <c r="C69" s="6" t="s">
        <v>235</v>
      </c>
      <c r="D69" s="6" t="s">
        <v>236</v>
      </c>
      <c r="E69" s="6" t="s">
        <v>51</v>
      </c>
      <c r="F69" s="7" t="s">
        <v>31</v>
      </c>
      <c r="G69" s="6" t="s">
        <v>237</v>
      </c>
    </row>
    <row r="70" customFormat="false" ht="15" hidden="false" customHeight="false" outlineLevel="0" collapsed="false">
      <c r="A70" s="8" t="s">
        <v>238</v>
      </c>
      <c r="B70" s="8" t="s">
        <v>234</v>
      </c>
      <c r="C70" s="8" t="s">
        <v>239</v>
      </c>
      <c r="D70" s="8" t="s">
        <v>76</v>
      </c>
      <c r="E70" s="8" t="s">
        <v>240</v>
      </c>
      <c r="F70" s="10" t="s">
        <v>31</v>
      </c>
      <c r="G70" s="8" t="s">
        <v>237</v>
      </c>
    </row>
    <row r="71" customFormat="false" ht="15" hidden="false" customHeight="false" outlineLevel="0" collapsed="false">
      <c r="A71" s="6" t="s">
        <v>241</v>
      </c>
      <c r="B71" s="6" t="s">
        <v>234</v>
      </c>
      <c r="C71" s="6" t="s">
        <v>242</v>
      </c>
      <c r="D71" s="6" t="s">
        <v>243</v>
      </c>
      <c r="E71" s="6" t="s">
        <v>240</v>
      </c>
      <c r="F71" s="12" t="s">
        <v>37</v>
      </c>
      <c r="G71" s="6" t="s">
        <v>237</v>
      </c>
    </row>
    <row r="72" customFormat="false" ht="15" hidden="false" customHeight="false" outlineLevel="0" collapsed="false">
      <c r="A72" s="8" t="s">
        <v>244</v>
      </c>
      <c r="B72" s="8" t="s">
        <v>234</v>
      </c>
      <c r="C72" s="8" t="s">
        <v>245</v>
      </c>
      <c r="D72" s="8" t="s">
        <v>246</v>
      </c>
      <c r="E72" s="8" t="s">
        <v>240</v>
      </c>
      <c r="F72" s="10" t="s">
        <v>31</v>
      </c>
      <c r="G72" s="8" t="s">
        <v>237</v>
      </c>
    </row>
    <row r="73" customFormat="false" ht="15" hidden="false" customHeight="false" outlineLevel="0" collapsed="false">
      <c r="A73" s="6" t="s">
        <v>247</v>
      </c>
      <c r="B73" s="6" t="s">
        <v>234</v>
      </c>
      <c r="C73" s="6" t="s">
        <v>248</v>
      </c>
      <c r="D73" s="6" t="s">
        <v>249</v>
      </c>
      <c r="E73" s="6" t="s">
        <v>240</v>
      </c>
      <c r="F73" s="7" t="s">
        <v>31</v>
      </c>
      <c r="G73" s="6" t="s">
        <v>237</v>
      </c>
    </row>
    <row r="74" customFormat="false" ht="23.85" hidden="false" customHeight="false" outlineLevel="0" collapsed="false">
      <c r="A74" s="8" t="s">
        <v>250</v>
      </c>
      <c r="B74" s="8" t="s">
        <v>251</v>
      </c>
      <c r="C74" s="8" t="s">
        <v>252</v>
      </c>
      <c r="D74" s="8" t="s">
        <v>253</v>
      </c>
      <c r="E74" s="8" t="s">
        <v>126</v>
      </c>
      <c r="F74" s="10" t="s">
        <v>31</v>
      </c>
      <c r="G74" s="8" t="s">
        <v>254</v>
      </c>
    </row>
    <row r="75" customFormat="false" ht="15" hidden="false" customHeight="false" outlineLevel="0" collapsed="false">
      <c r="A75" s="6" t="s">
        <v>255</v>
      </c>
      <c r="B75" s="6" t="s">
        <v>251</v>
      </c>
      <c r="C75" s="6" t="s">
        <v>256</v>
      </c>
      <c r="D75" s="6" t="s">
        <v>257</v>
      </c>
      <c r="E75" s="6" t="s">
        <v>51</v>
      </c>
      <c r="F75" s="7" t="s">
        <v>31</v>
      </c>
      <c r="G75" s="6" t="s">
        <v>254</v>
      </c>
    </row>
    <row r="76" customFormat="false" ht="15" hidden="false" customHeight="false" outlineLevel="0" collapsed="false">
      <c r="A76" s="8" t="s">
        <v>258</v>
      </c>
      <c r="B76" s="8" t="s">
        <v>259</v>
      </c>
      <c r="C76" s="8" t="s">
        <v>260</v>
      </c>
      <c r="D76" s="8" t="s">
        <v>261</v>
      </c>
      <c r="E76" s="8" t="s">
        <v>51</v>
      </c>
      <c r="F76" s="9" t="s">
        <v>37</v>
      </c>
      <c r="G76" s="8" t="s">
        <v>159</v>
      </c>
    </row>
    <row r="77" customFormat="false" ht="15" hidden="false" customHeight="false" outlineLevel="0" collapsed="false">
      <c r="A77" s="6" t="s">
        <v>262</v>
      </c>
      <c r="B77" s="6" t="s">
        <v>259</v>
      </c>
      <c r="C77" s="6" t="s">
        <v>263</v>
      </c>
      <c r="D77" s="6" t="s">
        <v>264</v>
      </c>
      <c r="E77" s="6" t="s">
        <v>51</v>
      </c>
      <c r="F77" s="7" t="s">
        <v>31</v>
      </c>
      <c r="G77" s="6" t="s">
        <v>159</v>
      </c>
    </row>
    <row r="78" customFormat="false" ht="15" hidden="false" customHeight="false" outlineLevel="0" collapsed="false">
      <c r="A78" s="8" t="s">
        <v>265</v>
      </c>
      <c r="B78" s="8" t="s">
        <v>266</v>
      </c>
      <c r="C78" s="8" t="s">
        <v>267</v>
      </c>
      <c r="D78" s="8" t="s">
        <v>268</v>
      </c>
      <c r="E78" s="8" t="s">
        <v>36</v>
      </c>
      <c r="F78" s="13" t="s">
        <v>56</v>
      </c>
      <c r="G78" s="8" t="s">
        <v>269</v>
      </c>
    </row>
    <row r="79" customFormat="false" ht="15" hidden="false" customHeight="false" outlineLevel="0" collapsed="false">
      <c r="A79" s="6" t="s">
        <v>270</v>
      </c>
      <c r="B79" s="6" t="s">
        <v>266</v>
      </c>
      <c r="C79" s="6" t="s">
        <v>271</v>
      </c>
      <c r="D79" s="6" t="s">
        <v>272</v>
      </c>
      <c r="E79" s="6" t="s">
        <v>36</v>
      </c>
      <c r="F79" s="11" t="s">
        <v>56</v>
      </c>
      <c r="G79" s="6" t="s">
        <v>269</v>
      </c>
    </row>
    <row r="80" customFormat="false" ht="15" hidden="false" customHeight="false" outlineLevel="0" collapsed="false">
      <c r="A80" s="8" t="s">
        <v>273</v>
      </c>
      <c r="B80" s="8" t="s">
        <v>266</v>
      </c>
      <c r="C80" s="8" t="s">
        <v>274</v>
      </c>
      <c r="D80" s="8" t="s">
        <v>275</v>
      </c>
      <c r="E80" s="8" t="s">
        <v>89</v>
      </c>
      <c r="F80" s="9" t="s">
        <v>37</v>
      </c>
      <c r="G80" s="8" t="s">
        <v>269</v>
      </c>
    </row>
    <row r="81" customFormat="false" ht="15" hidden="false" customHeight="false" outlineLevel="0" collapsed="false">
      <c r="A81" s="6" t="s">
        <v>276</v>
      </c>
      <c r="B81" s="6" t="s">
        <v>266</v>
      </c>
      <c r="C81" s="6" t="s">
        <v>277</v>
      </c>
      <c r="D81" s="6" t="s">
        <v>278</v>
      </c>
      <c r="E81" s="6" t="s">
        <v>279</v>
      </c>
      <c r="F81" s="12" t="s">
        <v>37</v>
      </c>
      <c r="G81" s="6" t="s">
        <v>269</v>
      </c>
    </row>
    <row r="82" customFormat="false" ht="15" hidden="false" customHeight="false" outlineLevel="0" collapsed="false">
      <c r="A82" s="8" t="s">
        <v>280</v>
      </c>
      <c r="B82" s="8" t="s">
        <v>266</v>
      </c>
      <c r="C82" s="8" t="s">
        <v>281</v>
      </c>
      <c r="D82" s="8" t="s">
        <v>76</v>
      </c>
      <c r="E82" s="8" t="s">
        <v>89</v>
      </c>
      <c r="F82" s="10" t="s">
        <v>31</v>
      </c>
      <c r="G82" s="8" t="s">
        <v>269</v>
      </c>
    </row>
    <row r="83" customFormat="false" ht="15" hidden="false" customHeight="false" outlineLevel="0" collapsed="false">
      <c r="A83" s="6" t="s">
        <v>282</v>
      </c>
      <c r="B83" s="6" t="s">
        <v>266</v>
      </c>
      <c r="C83" s="6" t="s">
        <v>283</v>
      </c>
      <c r="D83" s="6" t="s">
        <v>76</v>
      </c>
      <c r="E83" s="6" t="s">
        <v>279</v>
      </c>
      <c r="F83" s="12" t="s">
        <v>37</v>
      </c>
      <c r="G83" s="6" t="s">
        <v>269</v>
      </c>
    </row>
    <row r="84" customFormat="false" ht="15" hidden="false" customHeight="false" outlineLevel="0" collapsed="false">
      <c r="A84" s="8" t="s">
        <v>284</v>
      </c>
      <c r="B84" s="8" t="s">
        <v>285</v>
      </c>
      <c r="C84" s="8" t="s">
        <v>286</v>
      </c>
      <c r="D84" s="8" t="s">
        <v>287</v>
      </c>
      <c r="E84" s="8" t="s">
        <v>89</v>
      </c>
      <c r="F84" s="10" t="s">
        <v>31</v>
      </c>
      <c r="G84" s="8" t="s">
        <v>288</v>
      </c>
    </row>
    <row r="85" customFormat="false" ht="15" hidden="false" customHeight="false" outlineLevel="0" collapsed="false">
      <c r="A85" s="6" t="s">
        <v>289</v>
      </c>
      <c r="B85" s="6" t="s">
        <v>285</v>
      </c>
      <c r="C85" s="6" t="s">
        <v>290</v>
      </c>
      <c r="D85" s="6" t="s">
        <v>291</v>
      </c>
      <c r="E85" s="6" t="s">
        <v>89</v>
      </c>
      <c r="F85" s="12" t="s">
        <v>37</v>
      </c>
      <c r="G85" s="6" t="s">
        <v>288</v>
      </c>
    </row>
    <row r="86" customFormat="false" ht="15" hidden="false" customHeight="false" outlineLevel="0" collapsed="false">
      <c r="A86" s="8" t="s">
        <v>292</v>
      </c>
      <c r="B86" s="8" t="s">
        <v>285</v>
      </c>
      <c r="C86" s="8" t="s">
        <v>293</v>
      </c>
      <c r="D86" s="8" t="s">
        <v>76</v>
      </c>
      <c r="E86" s="8" t="s">
        <v>89</v>
      </c>
      <c r="F86" s="10" t="s">
        <v>31</v>
      </c>
      <c r="G86" s="8" t="s">
        <v>288</v>
      </c>
    </row>
    <row r="87" customFormat="false" ht="15" hidden="false" customHeight="false" outlineLevel="0" collapsed="false">
      <c r="A87" s="6" t="s">
        <v>294</v>
      </c>
      <c r="B87" s="6" t="s">
        <v>285</v>
      </c>
      <c r="C87" s="6" t="s">
        <v>295</v>
      </c>
      <c r="D87" s="6" t="s">
        <v>76</v>
      </c>
      <c r="E87" s="6" t="s">
        <v>89</v>
      </c>
      <c r="F87" s="7" t="s">
        <v>31</v>
      </c>
      <c r="G87" s="6" t="s">
        <v>288</v>
      </c>
    </row>
    <row r="88" customFormat="false" ht="15" hidden="false" customHeight="false" outlineLevel="0" collapsed="false">
      <c r="A88" s="8" t="s">
        <v>296</v>
      </c>
      <c r="B88" s="8" t="s">
        <v>285</v>
      </c>
      <c r="C88" s="8" t="s">
        <v>297</v>
      </c>
      <c r="D88" s="8" t="s">
        <v>298</v>
      </c>
      <c r="E88" s="8" t="s">
        <v>89</v>
      </c>
      <c r="F88" s="10" t="s">
        <v>31</v>
      </c>
      <c r="G88" s="8" t="s">
        <v>288</v>
      </c>
    </row>
    <row r="89" customFormat="false" ht="15" hidden="false" customHeight="false" outlineLevel="0" collapsed="false">
      <c r="A89" s="6" t="s">
        <v>299</v>
      </c>
      <c r="B89" s="6" t="s">
        <v>285</v>
      </c>
      <c r="C89" s="6" t="s">
        <v>300</v>
      </c>
      <c r="D89" s="6" t="s">
        <v>76</v>
      </c>
      <c r="E89" s="6" t="s">
        <v>89</v>
      </c>
      <c r="F89" s="7" t="s">
        <v>31</v>
      </c>
      <c r="G89" s="6" t="s">
        <v>288</v>
      </c>
    </row>
    <row r="90" customFormat="false" ht="15" hidden="false" customHeight="false" outlineLevel="0" collapsed="false">
      <c r="A90" s="8" t="s">
        <v>301</v>
      </c>
      <c r="B90" s="8" t="s">
        <v>302</v>
      </c>
      <c r="C90" s="8" t="s">
        <v>303</v>
      </c>
      <c r="D90" s="8" t="s">
        <v>304</v>
      </c>
      <c r="E90" s="8" t="s">
        <v>279</v>
      </c>
      <c r="F90" s="9" t="s">
        <v>37</v>
      </c>
      <c r="G90" s="8" t="s">
        <v>269</v>
      </c>
    </row>
    <row r="91" customFormat="false" ht="15" hidden="false" customHeight="false" outlineLevel="0" collapsed="false">
      <c r="A91" s="6" t="s">
        <v>305</v>
      </c>
      <c r="B91" s="6" t="s">
        <v>302</v>
      </c>
      <c r="C91" s="6" t="s">
        <v>306</v>
      </c>
      <c r="D91" s="6" t="s">
        <v>307</v>
      </c>
      <c r="E91" s="6" t="s">
        <v>279</v>
      </c>
      <c r="F91" s="12" t="s">
        <v>37</v>
      </c>
      <c r="G91" s="6" t="s">
        <v>269</v>
      </c>
    </row>
    <row r="92" customFormat="false" ht="15" hidden="false" customHeight="false" outlineLevel="0" collapsed="false">
      <c r="A92" s="8" t="s">
        <v>308</v>
      </c>
      <c r="B92" s="8" t="s">
        <v>302</v>
      </c>
      <c r="C92" s="8" t="s">
        <v>309</v>
      </c>
      <c r="D92" s="8" t="s">
        <v>310</v>
      </c>
      <c r="E92" s="8" t="s">
        <v>279</v>
      </c>
      <c r="F92" s="9" t="s">
        <v>37</v>
      </c>
      <c r="G92" s="8" t="s">
        <v>269</v>
      </c>
    </row>
    <row r="93" customFormat="false" ht="15" hidden="false" customHeight="false" outlineLevel="0" collapsed="false">
      <c r="A93" s="6" t="s">
        <v>311</v>
      </c>
      <c r="B93" s="6" t="s">
        <v>302</v>
      </c>
      <c r="C93" s="6" t="s">
        <v>312</v>
      </c>
      <c r="D93" s="6" t="s">
        <v>313</v>
      </c>
      <c r="E93" s="6" t="s">
        <v>279</v>
      </c>
      <c r="F93" s="7" t="s">
        <v>31</v>
      </c>
      <c r="G93" s="6" t="s">
        <v>269</v>
      </c>
    </row>
    <row r="94" customFormat="false" ht="15" hidden="false" customHeight="false" outlineLevel="0" collapsed="false">
      <c r="A94" s="8" t="s">
        <v>314</v>
      </c>
      <c r="B94" s="8" t="s">
        <v>302</v>
      </c>
      <c r="C94" s="8" t="s">
        <v>315</v>
      </c>
      <c r="D94" s="8" t="s">
        <v>316</v>
      </c>
      <c r="E94" s="8" t="s">
        <v>279</v>
      </c>
      <c r="F94" s="9" t="s">
        <v>37</v>
      </c>
      <c r="G94" s="8" t="s">
        <v>269</v>
      </c>
    </row>
    <row r="95" customFormat="false" ht="15" hidden="false" customHeight="false" outlineLevel="0" collapsed="false">
      <c r="A95" s="6" t="s">
        <v>317</v>
      </c>
      <c r="B95" s="6" t="s">
        <v>302</v>
      </c>
      <c r="C95" s="6" t="s">
        <v>318</v>
      </c>
      <c r="D95" s="6" t="s">
        <v>319</v>
      </c>
      <c r="E95" s="6" t="s">
        <v>279</v>
      </c>
      <c r="F95" s="12" t="s">
        <v>37</v>
      </c>
      <c r="G95" s="6" t="s">
        <v>269</v>
      </c>
    </row>
    <row r="96" customFormat="false" ht="23.85" hidden="false" customHeight="false" outlineLevel="0" collapsed="false">
      <c r="A96" s="8" t="s">
        <v>320</v>
      </c>
      <c r="B96" s="8" t="s">
        <v>302</v>
      </c>
      <c r="C96" s="8" t="s">
        <v>321</v>
      </c>
      <c r="D96" s="8" t="s">
        <v>322</v>
      </c>
      <c r="E96" s="8" t="s">
        <v>279</v>
      </c>
      <c r="F96" s="10" t="s">
        <v>31</v>
      </c>
      <c r="G96" s="8" t="s">
        <v>269</v>
      </c>
    </row>
    <row r="97" customFormat="false" ht="15" hidden="false" customHeight="false" outlineLevel="0" collapsed="false">
      <c r="A97" s="6" t="s">
        <v>323</v>
      </c>
      <c r="B97" s="6" t="s">
        <v>302</v>
      </c>
      <c r="C97" s="6" t="s">
        <v>324</v>
      </c>
      <c r="D97" s="6" t="s">
        <v>76</v>
      </c>
      <c r="E97" s="6" t="s">
        <v>279</v>
      </c>
      <c r="F97" s="7" t="s">
        <v>31</v>
      </c>
      <c r="G97" s="6" t="s">
        <v>269</v>
      </c>
    </row>
    <row r="98" customFormat="false" ht="15" hidden="false" customHeight="false" outlineLevel="0" collapsed="false">
      <c r="A98" s="8" t="s">
        <v>325</v>
      </c>
      <c r="B98" s="8" t="s">
        <v>326</v>
      </c>
      <c r="C98" s="8" t="s">
        <v>327</v>
      </c>
      <c r="D98" s="8" t="s">
        <v>328</v>
      </c>
      <c r="E98" s="8" t="s">
        <v>279</v>
      </c>
      <c r="F98" s="9" t="s">
        <v>37</v>
      </c>
      <c r="G98" s="8" t="s">
        <v>269</v>
      </c>
    </row>
    <row r="99" customFormat="false" ht="15" hidden="false" customHeight="false" outlineLevel="0" collapsed="false">
      <c r="A99" s="6" t="s">
        <v>329</v>
      </c>
      <c r="B99" s="6" t="s">
        <v>326</v>
      </c>
      <c r="C99" s="6" t="s">
        <v>330</v>
      </c>
      <c r="D99" s="6" t="s">
        <v>192</v>
      </c>
      <c r="E99" s="6" t="s">
        <v>279</v>
      </c>
      <c r="F99" s="7" t="s">
        <v>31</v>
      </c>
      <c r="G99" s="6" t="s">
        <v>269</v>
      </c>
    </row>
    <row r="100" customFormat="false" ht="15" hidden="false" customHeight="false" outlineLevel="0" collapsed="false">
      <c r="A100" s="8" t="s">
        <v>331</v>
      </c>
      <c r="B100" s="8" t="s">
        <v>326</v>
      </c>
      <c r="C100" s="8" t="s">
        <v>332</v>
      </c>
      <c r="D100" s="8" t="s">
        <v>333</v>
      </c>
      <c r="E100" s="8" t="s">
        <v>279</v>
      </c>
      <c r="F100" s="9" t="s">
        <v>37</v>
      </c>
      <c r="G100" s="8" t="s">
        <v>269</v>
      </c>
    </row>
    <row r="101" customFormat="false" ht="15" hidden="false" customHeight="false" outlineLevel="0" collapsed="false">
      <c r="A101" s="6" t="s">
        <v>334</v>
      </c>
      <c r="B101" s="6" t="s">
        <v>326</v>
      </c>
      <c r="C101" s="6" t="s">
        <v>335</v>
      </c>
      <c r="D101" s="6" t="s">
        <v>192</v>
      </c>
      <c r="E101" s="6" t="s">
        <v>279</v>
      </c>
      <c r="F101" s="7" t="s">
        <v>31</v>
      </c>
      <c r="G101" s="6" t="s">
        <v>269</v>
      </c>
    </row>
    <row r="102" customFormat="false" ht="23.85" hidden="false" customHeight="false" outlineLevel="0" collapsed="false">
      <c r="A102" s="8" t="s">
        <v>336</v>
      </c>
      <c r="B102" s="8" t="s">
        <v>326</v>
      </c>
      <c r="C102" s="8" t="s">
        <v>337</v>
      </c>
      <c r="D102" s="8" t="s">
        <v>338</v>
      </c>
      <c r="E102" s="8" t="s">
        <v>279</v>
      </c>
      <c r="F102" s="9" t="s">
        <v>37</v>
      </c>
      <c r="G102" s="8" t="s">
        <v>269</v>
      </c>
    </row>
    <row r="103" customFormat="false" ht="15" hidden="false" customHeight="false" outlineLevel="0" collapsed="false">
      <c r="A103" s="6" t="s">
        <v>339</v>
      </c>
      <c r="B103" s="6" t="s">
        <v>326</v>
      </c>
      <c r="C103" s="6" t="s">
        <v>340</v>
      </c>
      <c r="D103" s="6" t="s">
        <v>76</v>
      </c>
      <c r="E103" s="6" t="s">
        <v>279</v>
      </c>
      <c r="F103" s="7" t="s">
        <v>31</v>
      </c>
      <c r="G103" s="6" t="s">
        <v>269</v>
      </c>
    </row>
    <row r="104" customFormat="false" ht="15" hidden="false" customHeight="false" outlineLevel="0" collapsed="false">
      <c r="A104" s="8" t="s">
        <v>341</v>
      </c>
      <c r="B104" s="8" t="s">
        <v>326</v>
      </c>
      <c r="C104" s="8" t="s">
        <v>342</v>
      </c>
      <c r="D104" s="8" t="s">
        <v>343</v>
      </c>
      <c r="E104" s="8" t="s">
        <v>279</v>
      </c>
      <c r="F104" s="9" t="s">
        <v>37</v>
      </c>
      <c r="G104" s="8" t="s">
        <v>269</v>
      </c>
    </row>
    <row r="105" customFormat="false" ht="15" hidden="false" customHeight="false" outlineLevel="0" collapsed="false">
      <c r="A105" s="6" t="s">
        <v>344</v>
      </c>
      <c r="B105" s="6" t="s">
        <v>326</v>
      </c>
      <c r="C105" s="6" t="s">
        <v>345</v>
      </c>
      <c r="D105" s="6" t="s">
        <v>76</v>
      </c>
      <c r="E105" s="6" t="s">
        <v>279</v>
      </c>
      <c r="F105" s="7" t="s">
        <v>31</v>
      </c>
      <c r="G105" s="6" t="s">
        <v>269</v>
      </c>
    </row>
    <row r="106" customFormat="false" ht="15" hidden="false" customHeight="false" outlineLevel="0" collapsed="false">
      <c r="A106" s="8" t="s">
        <v>346</v>
      </c>
      <c r="B106" s="8" t="s">
        <v>347</v>
      </c>
      <c r="C106" s="8" t="s">
        <v>348</v>
      </c>
      <c r="D106" s="8" t="s">
        <v>349</v>
      </c>
      <c r="E106" s="8" t="s">
        <v>51</v>
      </c>
      <c r="F106" s="10" t="s">
        <v>31</v>
      </c>
      <c r="G106" s="8" t="s">
        <v>269</v>
      </c>
    </row>
    <row r="107" customFormat="false" ht="15" hidden="false" customHeight="false" outlineLevel="0" collapsed="false">
      <c r="A107" s="6" t="s">
        <v>350</v>
      </c>
      <c r="B107" s="6" t="s">
        <v>347</v>
      </c>
      <c r="C107" s="6" t="s">
        <v>351</v>
      </c>
      <c r="D107" s="6" t="s">
        <v>207</v>
      </c>
      <c r="E107" s="6" t="s">
        <v>179</v>
      </c>
      <c r="F107" s="7" t="s">
        <v>31</v>
      </c>
      <c r="G107" s="6" t="s">
        <v>269</v>
      </c>
    </row>
    <row r="108" customFormat="false" ht="15" hidden="false" customHeight="false" outlineLevel="0" collapsed="false">
      <c r="A108" s="8" t="s">
        <v>352</v>
      </c>
      <c r="B108" s="8" t="s">
        <v>347</v>
      </c>
      <c r="C108" s="8" t="s">
        <v>353</v>
      </c>
      <c r="D108" s="8" t="s">
        <v>354</v>
      </c>
      <c r="E108" s="8" t="s">
        <v>30</v>
      </c>
      <c r="F108" s="10" t="s">
        <v>31</v>
      </c>
      <c r="G108" s="8" t="s">
        <v>269</v>
      </c>
    </row>
    <row r="109" customFormat="false" ht="23.85" hidden="false" customHeight="false" outlineLevel="0" collapsed="false">
      <c r="A109" s="6" t="s">
        <v>355</v>
      </c>
      <c r="B109" s="6" t="s">
        <v>356</v>
      </c>
      <c r="C109" s="6" t="s">
        <v>357</v>
      </c>
      <c r="D109" s="6" t="s">
        <v>358</v>
      </c>
      <c r="E109" s="6" t="s">
        <v>89</v>
      </c>
      <c r="F109" s="7" t="s">
        <v>31</v>
      </c>
      <c r="G109" s="6" t="s">
        <v>356</v>
      </c>
    </row>
    <row r="110" customFormat="false" ht="15" hidden="false" customHeight="false" outlineLevel="0" collapsed="false">
      <c r="A110" s="8" t="s">
        <v>359</v>
      </c>
      <c r="B110" s="8" t="s">
        <v>356</v>
      </c>
      <c r="C110" s="8" t="s">
        <v>360</v>
      </c>
      <c r="D110" s="8" t="s">
        <v>76</v>
      </c>
      <c r="E110" s="8" t="s">
        <v>89</v>
      </c>
      <c r="F110" s="10" t="s">
        <v>31</v>
      </c>
      <c r="G110" s="8" t="s">
        <v>356</v>
      </c>
    </row>
    <row r="111" customFormat="false" ht="15" hidden="false" customHeight="false" outlineLevel="0" collapsed="false">
      <c r="A111" s="6" t="s">
        <v>361</v>
      </c>
      <c r="B111" s="6" t="s">
        <v>356</v>
      </c>
      <c r="C111" s="6" t="s">
        <v>362</v>
      </c>
      <c r="D111" s="6" t="s">
        <v>363</v>
      </c>
      <c r="E111" s="6" t="s">
        <v>279</v>
      </c>
      <c r="F111" s="12" t="s">
        <v>37</v>
      </c>
      <c r="G111" s="6" t="s">
        <v>356</v>
      </c>
    </row>
    <row r="112" customFormat="false" ht="15" hidden="false" customHeight="false" outlineLevel="0" collapsed="false">
      <c r="A112" s="8" t="s">
        <v>364</v>
      </c>
      <c r="B112" s="8" t="s">
        <v>356</v>
      </c>
      <c r="C112" s="8" t="s">
        <v>365</v>
      </c>
      <c r="D112" s="8" t="s">
        <v>207</v>
      </c>
      <c r="E112" s="8" t="s">
        <v>279</v>
      </c>
      <c r="F112" s="10" t="s">
        <v>31</v>
      </c>
      <c r="G112" s="8" t="s">
        <v>356</v>
      </c>
    </row>
    <row r="113" customFormat="false" ht="15" hidden="false" customHeight="false" outlineLevel="0" collapsed="false">
      <c r="A113" s="6" t="s">
        <v>366</v>
      </c>
      <c r="B113" s="6" t="s">
        <v>356</v>
      </c>
      <c r="C113" s="6" t="s">
        <v>367</v>
      </c>
      <c r="D113" s="6" t="s">
        <v>368</v>
      </c>
      <c r="E113" s="6" t="s">
        <v>89</v>
      </c>
      <c r="F113" s="7" t="s">
        <v>31</v>
      </c>
      <c r="G113" s="6" t="s">
        <v>356</v>
      </c>
    </row>
    <row r="114" customFormat="false" ht="23.85" hidden="false" customHeight="false" outlineLevel="0" collapsed="false">
      <c r="A114" s="8" t="s">
        <v>369</v>
      </c>
      <c r="B114" s="8" t="s">
        <v>356</v>
      </c>
      <c r="C114" s="8" t="s">
        <v>370</v>
      </c>
      <c r="D114" s="8" t="s">
        <v>236</v>
      </c>
      <c r="E114" s="8" t="s">
        <v>51</v>
      </c>
      <c r="F114" s="10" t="s">
        <v>31</v>
      </c>
      <c r="G114" s="8" t="s">
        <v>356</v>
      </c>
    </row>
    <row r="115" customFormat="false" ht="15" hidden="false" customHeight="false" outlineLevel="0" collapsed="false">
      <c r="A115" s="6" t="s">
        <v>371</v>
      </c>
      <c r="B115" s="6" t="s">
        <v>356</v>
      </c>
      <c r="C115" s="6" t="s">
        <v>372</v>
      </c>
      <c r="D115" s="6" t="s">
        <v>76</v>
      </c>
      <c r="E115" s="6" t="s">
        <v>240</v>
      </c>
      <c r="F115" s="7" t="s">
        <v>31</v>
      </c>
      <c r="G115" s="6" t="s">
        <v>356</v>
      </c>
    </row>
    <row r="116" customFormat="false" ht="15" hidden="false" customHeight="false" outlineLevel="0" collapsed="false">
      <c r="A116" s="8" t="s">
        <v>373</v>
      </c>
      <c r="B116" s="8" t="s">
        <v>356</v>
      </c>
      <c r="C116" s="8" t="s">
        <v>374</v>
      </c>
      <c r="D116" s="8" t="s">
        <v>375</v>
      </c>
      <c r="E116" s="8" t="s">
        <v>279</v>
      </c>
      <c r="F116" s="13" t="s">
        <v>56</v>
      </c>
      <c r="G116" s="8" t="s">
        <v>356</v>
      </c>
    </row>
    <row r="117" customFormat="false" ht="15" hidden="false" customHeight="false" outlineLevel="0" collapsed="false">
      <c r="A117" s="6" t="s">
        <v>376</v>
      </c>
      <c r="B117" s="6" t="s">
        <v>356</v>
      </c>
      <c r="C117" s="6" t="s">
        <v>377</v>
      </c>
      <c r="D117" s="6" t="s">
        <v>76</v>
      </c>
      <c r="E117" s="6" t="s">
        <v>279</v>
      </c>
      <c r="F117" s="7" t="s">
        <v>31</v>
      </c>
      <c r="G117" s="6" t="s">
        <v>356</v>
      </c>
    </row>
    <row r="118" customFormat="false" ht="23.85" hidden="false" customHeight="false" outlineLevel="0" collapsed="false">
      <c r="A118" s="8" t="s">
        <v>378</v>
      </c>
      <c r="B118" s="8" t="s">
        <v>356</v>
      </c>
      <c r="C118" s="8" t="s">
        <v>379</v>
      </c>
      <c r="D118" s="8" t="s">
        <v>192</v>
      </c>
      <c r="E118" s="8" t="s">
        <v>126</v>
      </c>
      <c r="F118" s="10" t="s">
        <v>31</v>
      </c>
      <c r="G118" s="8" t="s">
        <v>356</v>
      </c>
    </row>
    <row r="119" customFormat="false" ht="15" hidden="false" customHeight="false" outlineLevel="0" collapsed="false">
      <c r="A119" s="6" t="s">
        <v>380</v>
      </c>
      <c r="B119" s="6" t="s">
        <v>381</v>
      </c>
      <c r="C119" s="6" t="s">
        <v>382</v>
      </c>
      <c r="D119" s="6" t="s">
        <v>383</v>
      </c>
      <c r="E119" s="6" t="s">
        <v>279</v>
      </c>
      <c r="F119" s="7" t="s">
        <v>31</v>
      </c>
      <c r="G119" s="6" t="s">
        <v>381</v>
      </c>
    </row>
    <row r="120" customFormat="false" ht="15" hidden="false" customHeight="false" outlineLevel="0" collapsed="false">
      <c r="A120" s="8" t="s">
        <v>384</v>
      </c>
      <c r="B120" s="8" t="s">
        <v>381</v>
      </c>
      <c r="C120" s="8" t="s">
        <v>385</v>
      </c>
      <c r="D120" s="8" t="s">
        <v>386</v>
      </c>
      <c r="E120" s="8" t="s">
        <v>89</v>
      </c>
      <c r="F120" s="9" t="s">
        <v>37</v>
      </c>
      <c r="G120" s="8" t="s">
        <v>381</v>
      </c>
    </row>
    <row r="121" customFormat="false" ht="15" hidden="false" customHeight="false" outlineLevel="0" collapsed="false">
      <c r="A121" s="6" t="s">
        <v>387</v>
      </c>
      <c r="B121" s="6" t="s">
        <v>381</v>
      </c>
      <c r="C121" s="6" t="s">
        <v>388</v>
      </c>
      <c r="D121" s="6" t="s">
        <v>207</v>
      </c>
      <c r="E121" s="6" t="s">
        <v>279</v>
      </c>
      <c r="F121" s="7" t="s">
        <v>31</v>
      </c>
      <c r="G121" s="6" t="s">
        <v>381</v>
      </c>
    </row>
    <row r="122" customFormat="false" ht="15" hidden="false" customHeight="false" outlineLevel="0" collapsed="false">
      <c r="A122" s="8" t="s">
        <v>389</v>
      </c>
      <c r="B122" s="8" t="s">
        <v>381</v>
      </c>
      <c r="C122" s="8" t="s">
        <v>390</v>
      </c>
      <c r="D122" s="8" t="s">
        <v>391</v>
      </c>
      <c r="E122" s="8" t="s">
        <v>36</v>
      </c>
      <c r="F122" s="9" t="s">
        <v>37</v>
      </c>
      <c r="G122" s="8" t="s">
        <v>381</v>
      </c>
    </row>
    <row r="123" customFormat="false" ht="15" hidden="false" customHeight="false" outlineLevel="0" collapsed="false">
      <c r="A123" s="6" t="s">
        <v>392</v>
      </c>
      <c r="B123" s="6" t="s">
        <v>393</v>
      </c>
      <c r="C123" s="6" t="s">
        <v>394</v>
      </c>
      <c r="D123" s="6" t="s">
        <v>395</v>
      </c>
      <c r="E123" s="6" t="s">
        <v>214</v>
      </c>
      <c r="F123" s="11" t="s">
        <v>56</v>
      </c>
      <c r="G123" s="6" t="s">
        <v>393</v>
      </c>
    </row>
    <row r="124" customFormat="false" ht="15" hidden="false" customHeight="false" outlineLevel="0" collapsed="false">
      <c r="A124" s="8" t="s">
        <v>396</v>
      </c>
      <c r="B124" s="8" t="s">
        <v>393</v>
      </c>
      <c r="C124" s="8" t="s">
        <v>397</v>
      </c>
      <c r="D124" s="8" t="s">
        <v>368</v>
      </c>
      <c r="E124" s="8" t="s">
        <v>214</v>
      </c>
      <c r="F124" s="13" t="s">
        <v>56</v>
      </c>
      <c r="G124" s="8" t="s">
        <v>393</v>
      </c>
    </row>
    <row r="125" customFormat="false" ht="23.85" hidden="false" customHeight="false" outlineLevel="0" collapsed="false">
      <c r="A125" s="6" t="s">
        <v>398</v>
      </c>
      <c r="B125" s="6" t="s">
        <v>393</v>
      </c>
      <c r="C125" s="6" t="s">
        <v>399</v>
      </c>
      <c r="D125" s="6" t="s">
        <v>400</v>
      </c>
      <c r="E125" s="6" t="s">
        <v>195</v>
      </c>
      <c r="F125" s="11" t="s">
        <v>56</v>
      </c>
      <c r="G125" s="6" t="s">
        <v>393</v>
      </c>
    </row>
    <row r="126" customFormat="false" ht="15" hidden="false" customHeight="false" outlineLevel="0" collapsed="false">
      <c r="A126" s="8" t="s">
        <v>401</v>
      </c>
      <c r="B126" s="8" t="s">
        <v>393</v>
      </c>
      <c r="C126" s="8" t="s">
        <v>402</v>
      </c>
      <c r="D126" s="8" t="s">
        <v>76</v>
      </c>
      <c r="E126" s="8" t="s">
        <v>214</v>
      </c>
      <c r="F126" s="10" t="s">
        <v>31</v>
      </c>
      <c r="G126" s="8" t="s">
        <v>393</v>
      </c>
    </row>
    <row r="127" customFormat="false" ht="15" hidden="false" customHeight="false" outlineLevel="0" collapsed="false">
      <c r="A127" s="6" t="s">
        <v>403</v>
      </c>
      <c r="B127" s="6" t="s">
        <v>393</v>
      </c>
      <c r="C127" s="6" t="s">
        <v>404</v>
      </c>
      <c r="D127" s="6" t="s">
        <v>386</v>
      </c>
      <c r="E127" s="6" t="s">
        <v>89</v>
      </c>
      <c r="F127" s="12" t="s">
        <v>37</v>
      </c>
      <c r="G127" s="6" t="s">
        <v>393</v>
      </c>
    </row>
    <row r="128" customFormat="false" ht="15" hidden="false" customHeight="false" outlineLevel="0" collapsed="false">
      <c r="A128" s="8" t="s">
        <v>405</v>
      </c>
      <c r="B128" s="8" t="s">
        <v>393</v>
      </c>
      <c r="C128" s="8" t="s">
        <v>406</v>
      </c>
      <c r="D128" s="8" t="s">
        <v>407</v>
      </c>
      <c r="E128" s="8" t="s">
        <v>279</v>
      </c>
      <c r="F128" s="9" t="s">
        <v>37</v>
      </c>
      <c r="G128" s="8" t="s">
        <v>393</v>
      </c>
    </row>
    <row r="129" customFormat="false" ht="15" hidden="false" customHeight="false" outlineLevel="0" collapsed="false">
      <c r="A129" s="6" t="s">
        <v>408</v>
      </c>
      <c r="B129" s="6" t="s">
        <v>393</v>
      </c>
      <c r="C129" s="6" t="s">
        <v>409</v>
      </c>
      <c r="D129" s="6" t="s">
        <v>410</v>
      </c>
      <c r="E129" s="6" t="s">
        <v>84</v>
      </c>
      <c r="F129" s="12" t="s">
        <v>37</v>
      </c>
      <c r="G129" s="6" t="s">
        <v>393</v>
      </c>
    </row>
    <row r="130" customFormat="false" ht="15" hidden="false" customHeight="false" outlineLevel="0" collapsed="false">
      <c r="A130" s="8" t="s">
        <v>411</v>
      </c>
      <c r="B130" s="8" t="s">
        <v>393</v>
      </c>
      <c r="C130" s="8" t="s">
        <v>412</v>
      </c>
      <c r="D130" s="8" t="s">
        <v>76</v>
      </c>
      <c r="E130" s="8" t="s">
        <v>41</v>
      </c>
      <c r="F130" s="10" t="s">
        <v>31</v>
      </c>
      <c r="G130" s="8" t="s">
        <v>393</v>
      </c>
    </row>
    <row r="131" customFormat="false" ht="15" hidden="false" customHeight="false" outlineLevel="0" collapsed="false">
      <c r="A131" s="6" t="s">
        <v>413</v>
      </c>
      <c r="B131" s="6" t="s">
        <v>393</v>
      </c>
      <c r="C131" s="6" t="s">
        <v>414</v>
      </c>
      <c r="D131" s="6" t="s">
        <v>76</v>
      </c>
      <c r="E131" s="6" t="s">
        <v>30</v>
      </c>
      <c r="F131" s="7" t="s">
        <v>31</v>
      </c>
      <c r="G131" s="6" t="s">
        <v>393</v>
      </c>
    </row>
    <row r="132" customFormat="false" ht="15" hidden="false" customHeight="false" outlineLevel="0" collapsed="false">
      <c r="A132" s="8" t="s">
        <v>415</v>
      </c>
      <c r="B132" s="8" t="s">
        <v>393</v>
      </c>
      <c r="C132" s="8" t="s">
        <v>416</v>
      </c>
      <c r="D132" s="8" t="s">
        <v>264</v>
      </c>
      <c r="E132" s="8" t="s">
        <v>51</v>
      </c>
      <c r="F132" s="10" t="s">
        <v>31</v>
      </c>
      <c r="G132" s="8" t="s">
        <v>393</v>
      </c>
    </row>
    <row r="133" customFormat="false" ht="15" hidden="false" customHeight="false" outlineLevel="0" collapsed="false">
      <c r="A133" s="6" t="s">
        <v>417</v>
      </c>
      <c r="B133" s="6" t="s">
        <v>418</v>
      </c>
      <c r="C133" s="6" t="s">
        <v>419</v>
      </c>
      <c r="D133" s="6" t="s">
        <v>420</v>
      </c>
      <c r="E133" s="6" t="s">
        <v>84</v>
      </c>
      <c r="F133" s="12" t="s">
        <v>37</v>
      </c>
      <c r="G133" s="6" t="s">
        <v>421</v>
      </c>
    </row>
    <row r="134" customFormat="false" ht="15" hidden="false" customHeight="false" outlineLevel="0" collapsed="false">
      <c r="A134" s="8" t="s">
        <v>422</v>
      </c>
      <c r="B134" s="8" t="s">
        <v>418</v>
      </c>
      <c r="C134" s="8" t="s">
        <v>423</v>
      </c>
      <c r="D134" s="8" t="s">
        <v>424</v>
      </c>
      <c r="E134" s="8" t="s">
        <v>84</v>
      </c>
      <c r="F134" s="10" t="s">
        <v>31</v>
      </c>
      <c r="G134" s="8" t="s">
        <v>421</v>
      </c>
    </row>
    <row r="135" customFormat="false" ht="15" hidden="false" customHeight="false" outlineLevel="0" collapsed="false">
      <c r="A135" s="6" t="s">
        <v>425</v>
      </c>
      <c r="B135" s="6" t="s">
        <v>418</v>
      </c>
      <c r="C135" s="6" t="s">
        <v>426</v>
      </c>
      <c r="D135" s="6" t="s">
        <v>427</v>
      </c>
      <c r="E135" s="6" t="s">
        <v>84</v>
      </c>
      <c r="F135" s="11" t="s">
        <v>56</v>
      </c>
      <c r="G135" s="6" t="s">
        <v>421</v>
      </c>
    </row>
    <row r="136" customFormat="false" ht="23.85" hidden="false" customHeight="false" outlineLevel="0" collapsed="false">
      <c r="A136" s="8" t="s">
        <v>428</v>
      </c>
      <c r="B136" s="8" t="s">
        <v>418</v>
      </c>
      <c r="C136" s="8" t="s">
        <v>429</v>
      </c>
      <c r="D136" s="8" t="s">
        <v>430</v>
      </c>
      <c r="E136" s="8" t="s">
        <v>51</v>
      </c>
      <c r="F136" s="13" t="s">
        <v>56</v>
      </c>
      <c r="G136" s="8" t="s">
        <v>421</v>
      </c>
    </row>
    <row r="137" customFormat="false" ht="15" hidden="false" customHeight="false" outlineLevel="0" collapsed="false">
      <c r="A137" s="6" t="s">
        <v>431</v>
      </c>
      <c r="B137" s="6" t="s">
        <v>418</v>
      </c>
      <c r="C137" s="6" t="s">
        <v>432</v>
      </c>
      <c r="D137" s="6" t="s">
        <v>76</v>
      </c>
      <c r="E137" s="6" t="s">
        <v>51</v>
      </c>
      <c r="F137" s="12" t="s">
        <v>37</v>
      </c>
      <c r="G137" s="6" t="s">
        <v>421</v>
      </c>
    </row>
    <row r="138" customFormat="false" ht="15" hidden="false" customHeight="false" outlineLevel="0" collapsed="false">
      <c r="A138" s="8" t="s">
        <v>433</v>
      </c>
      <c r="B138" s="8" t="s">
        <v>418</v>
      </c>
      <c r="C138" s="8" t="s">
        <v>434</v>
      </c>
      <c r="D138" s="8" t="s">
        <v>435</v>
      </c>
      <c r="E138" s="8" t="s">
        <v>51</v>
      </c>
      <c r="F138" s="9" t="s">
        <v>37</v>
      </c>
      <c r="G138" s="8" t="s">
        <v>421</v>
      </c>
    </row>
    <row r="139" customFormat="false" ht="15" hidden="false" customHeight="false" outlineLevel="0" collapsed="false">
      <c r="A139" s="6" t="s">
        <v>436</v>
      </c>
      <c r="B139" s="6" t="s">
        <v>418</v>
      </c>
      <c r="C139" s="6" t="s">
        <v>437</v>
      </c>
      <c r="D139" s="6" t="s">
        <v>438</v>
      </c>
      <c r="E139" s="6" t="s">
        <v>51</v>
      </c>
      <c r="F139" s="12" t="s">
        <v>37</v>
      </c>
      <c r="G139" s="6" t="s">
        <v>421</v>
      </c>
    </row>
    <row r="140" customFormat="false" ht="15" hidden="false" customHeight="false" outlineLevel="0" collapsed="false">
      <c r="A140" s="8" t="s">
        <v>439</v>
      </c>
      <c r="B140" s="8" t="s">
        <v>418</v>
      </c>
      <c r="C140" s="8" t="s">
        <v>440</v>
      </c>
      <c r="D140" s="8" t="s">
        <v>441</v>
      </c>
      <c r="E140" s="8" t="s">
        <v>51</v>
      </c>
      <c r="F140" s="9" t="s">
        <v>37</v>
      </c>
      <c r="G140" s="8" t="s">
        <v>421</v>
      </c>
    </row>
    <row r="141" customFormat="false" ht="15" hidden="false" customHeight="false" outlineLevel="0" collapsed="false">
      <c r="A141" s="6" t="s">
        <v>442</v>
      </c>
      <c r="B141" s="6" t="s">
        <v>418</v>
      </c>
      <c r="C141" s="6" t="s">
        <v>443</v>
      </c>
      <c r="D141" s="6" t="s">
        <v>249</v>
      </c>
      <c r="E141" s="6" t="s">
        <v>279</v>
      </c>
      <c r="F141" s="12" t="s">
        <v>37</v>
      </c>
      <c r="G141" s="6" t="s">
        <v>421</v>
      </c>
    </row>
    <row r="142" customFormat="false" ht="15" hidden="false" customHeight="false" outlineLevel="0" collapsed="false">
      <c r="A142" s="8" t="s">
        <v>444</v>
      </c>
      <c r="B142" s="8" t="s">
        <v>418</v>
      </c>
      <c r="C142" s="8" t="s">
        <v>445</v>
      </c>
      <c r="D142" s="8" t="s">
        <v>76</v>
      </c>
      <c r="E142" s="8" t="s">
        <v>279</v>
      </c>
      <c r="F142" s="10" t="s">
        <v>31</v>
      </c>
      <c r="G142" s="8" t="s">
        <v>421</v>
      </c>
    </row>
    <row r="143" customFormat="false" ht="15" hidden="false" customHeight="false" outlineLevel="0" collapsed="false">
      <c r="A143" s="6" t="s">
        <v>446</v>
      </c>
      <c r="B143" s="6" t="s">
        <v>418</v>
      </c>
      <c r="C143" s="6" t="s">
        <v>447</v>
      </c>
      <c r="D143" s="6" t="s">
        <v>448</v>
      </c>
      <c r="E143" s="6" t="s">
        <v>279</v>
      </c>
      <c r="F143" s="12" t="s">
        <v>37</v>
      </c>
      <c r="G143" s="6" t="s">
        <v>421</v>
      </c>
    </row>
    <row r="144" customFormat="false" ht="15" hidden="false" customHeight="false" outlineLevel="0" collapsed="false">
      <c r="A144" s="8" t="s">
        <v>449</v>
      </c>
      <c r="B144" s="8" t="s">
        <v>418</v>
      </c>
      <c r="C144" s="8" t="s">
        <v>450</v>
      </c>
      <c r="D144" s="8" t="s">
        <v>451</v>
      </c>
      <c r="E144" s="8" t="s">
        <v>279</v>
      </c>
      <c r="F144" s="9" t="s">
        <v>37</v>
      </c>
      <c r="G144" s="8" t="s">
        <v>421</v>
      </c>
    </row>
    <row r="145" customFormat="false" ht="15" hidden="false" customHeight="false" outlineLevel="0" collapsed="false">
      <c r="A145" s="6" t="s">
        <v>452</v>
      </c>
      <c r="B145" s="6" t="s">
        <v>418</v>
      </c>
      <c r="C145" s="6" t="s">
        <v>453</v>
      </c>
      <c r="D145" s="6" t="s">
        <v>454</v>
      </c>
      <c r="E145" s="6" t="s">
        <v>55</v>
      </c>
      <c r="F145" s="11" t="s">
        <v>56</v>
      </c>
      <c r="G145" s="6" t="s">
        <v>421</v>
      </c>
    </row>
    <row r="146" customFormat="false" ht="15" hidden="false" customHeight="false" outlineLevel="0" collapsed="false">
      <c r="A146" s="8" t="s">
        <v>455</v>
      </c>
      <c r="B146" s="8" t="s">
        <v>418</v>
      </c>
      <c r="C146" s="8" t="s">
        <v>456</v>
      </c>
      <c r="D146" s="8" t="s">
        <v>457</v>
      </c>
      <c r="E146" s="8" t="s">
        <v>51</v>
      </c>
      <c r="F146" s="10" t="s">
        <v>31</v>
      </c>
      <c r="G146" s="8" t="s">
        <v>421</v>
      </c>
    </row>
    <row r="147" customFormat="false" ht="23.85" hidden="false" customHeight="false" outlineLevel="0" collapsed="false">
      <c r="A147" s="6" t="s">
        <v>458</v>
      </c>
      <c r="B147" s="6" t="s">
        <v>418</v>
      </c>
      <c r="C147" s="6" t="s">
        <v>459</v>
      </c>
      <c r="D147" s="6" t="s">
        <v>460</v>
      </c>
      <c r="E147" s="6" t="s">
        <v>84</v>
      </c>
      <c r="F147" s="7" t="s">
        <v>31</v>
      </c>
      <c r="G147" s="6" t="s">
        <v>421</v>
      </c>
    </row>
    <row r="148" customFormat="false" ht="15" hidden="false" customHeight="false" outlineLevel="0" collapsed="false">
      <c r="A148" s="8" t="s">
        <v>461</v>
      </c>
      <c r="B148" s="8" t="s">
        <v>418</v>
      </c>
      <c r="C148" s="8" t="s">
        <v>462</v>
      </c>
      <c r="D148" s="8" t="s">
        <v>463</v>
      </c>
      <c r="E148" s="8" t="s">
        <v>84</v>
      </c>
      <c r="F148" s="10" t="s">
        <v>31</v>
      </c>
      <c r="G148" s="8" t="s">
        <v>421</v>
      </c>
    </row>
    <row r="149" customFormat="false" ht="15" hidden="false" customHeight="false" outlineLevel="0" collapsed="false">
      <c r="A149" s="6" t="s">
        <v>464</v>
      </c>
      <c r="B149" s="6" t="s">
        <v>418</v>
      </c>
      <c r="C149" s="6" t="s">
        <v>465</v>
      </c>
      <c r="D149" s="6" t="s">
        <v>76</v>
      </c>
      <c r="E149" s="6" t="s">
        <v>112</v>
      </c>
      <c r="F149" s="7" t="s">
        <v>31</v>
      </c>
      <c r="G149" s="6" t="s">
        <v>421</v>
      </c>
    </row>
    <row r="150" customFormat="false" ht="15" hidden="false" customHeight="false" outlineLevel="0" collapsed="false">
      <c r="A150" s="8" t="s">
        <v>466</v>
      </c>
      <c r="B150" s="8" t="s">
        <v>418</v>
      </c>
      <c r="C150" s="8" t="s">
        <v>467</v>
      </c>
      <c r="D150" s="8" t="s">
        <v>468</v>
      </c>
      <c r="E150" s="8" t="s">
        <v>84</v>
      </c>
      <c r="F150" s="10" t="s">
        <v>31</v>
      </c>
      <c r="G150" s="8" t="s">
        <v>421</v>
      </c>
    </row>
  </sheetData>
  <autoFilter ref="A4:G1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8"/>
    <col collapsed="false" customWidth="true" hidden="false" outlineLevel="0" max="5" min="5" style="0" width="60"/>
    <col collapsed="false" customWidth="true" hidden="false" outlineLevel="0" max="6" min="6" style="0" width="9"/>
  </cols>
  <sheetData>
    <row r="1" customFormat="false" ht="17.35" hidden="false" customHeight="false" outlineLevel="0" collapsed="false">
      <c r="A1" s="1" t="s">
        <v>4</v>
      </c>
    </row>
    <row r="2" customFormat="false" ht="15" hidden="false" customHeight="false" outlineLevel="0" collapsed="false">
      <c r="A2" s="2" t="s">
        <v>469</v>
      </c>
    </row>
    <row r="4" customFormat="false" ht="15" hidden="false" customHeight="false" outlineLevel="0" collapsed="false">
      <c r="A4" s="5" t="s">
        <v>470</v>
      </c>
      <c r="B4" s="5" t="s">
        <v>471</v>
      </c>
      <c r="C4" s="5" t="s">
        <v>472</v>
      </c>
      <c r="D4" s="5" t="s">
        <v>473</v>
      </c>
      <c r="E4" s="5" t="s">
        <v>474</v>
      </c>
      <c r="F4" s="5" t="s">
        <v>475</v>
      </c>
    </row>
    <row r="5" customFormat="false" ht="15" hidden="false" customHeight="false" outlineLevel="0" collapsed="false">
      <c r="A5" s="6" t="s">
        <v>476</v>
      </c>
      <c r="B5" s="6" t="s">
        <v>477</v>
      </c>
      <c r="C5" s="6" t="s">
        <v>478</v>
      </c>
      <c r="D5" s="6" t="s">
        <v>159</v>
      </c>
      <c r="E5" s="6" t="s">
        <v>479</v>
      </c>
      <c r="F5" s="6" t="n">
        <f aca="false">COUNTIF(Checklist!$B$5:$B$150,"Ceiling")+COUNTIF(Checklist!$B$5:$B$150,"Walls, plaster &amp; paint")+COUNTIF(Checklist!$B$5:$B$150,"Flooring")+COUNTIF(Checklist!$B$5:$B$150,"Skirting")+COUNTIF(Checklist!$B$5:$B$150,"Main entrance door")+COUNTIF(Checklist!$B$5:$B$150,"Electrical points")+COUNTIF(Checklist!$B$5:$B$150,"Foyer extras")</f>
        <v>43</v>
      </c>
    </row>
    <row r="6" customFormat="false" ht="15" hidden="false" customHeight="false" outlineLevel="0" collapsed="false">
      <c r="A6" s="8" t="s">
        <v>476</v>
      </c>
      <c r="B6" s="8" t="s">
        <v>480</v>
      </c>
      <c r="C6" s="8" t="s">
        <v>481</v>
      </c>
      <c r="D6" s="8" t="s">
        <v>481</v>
      </c>
      <c r="E6" s="8" t="s">
        <v>482</v>
      </c>
      <c r="F6" s="8" t="n">
        <f aca="false">COUNTIF(Checklist!$B$5:$B$150,"Ceiling")+COUNTIF(Checklist!$B$5:$B$150,"Walls, plaster &amp; paint")+COUNTIF(Checklist!$B$5:$B$150,"Flooring")+COUNTIF(Checklist!$B$5:$B$150,"Skirting")+COUNTIF(Checklist!$B$5:$B$150,"Windows &amp; sliding doors (aluminium / uPVC)")+COUNTIF(Checklist!$B$5:$B$150,"Electrical points")+COUNTIF(Checklist!$B$5:$B$150,"Air-conditioning provision")</f>
        <v>52</v>
      </c>
    </row>
    <row r="7" customFormat="false" ht="15" hidden="false" customHeight="false" outlineLevel="0" collapsed="false">
      <c r="A7" s="6" t="s">
        <v>476</v>
      </c>
      <c r="B7" s="6" t="s">
        <v>483</v>
      </c>
      <c r="C7" s="6" t="s">
        <v>356</v>
      </c>
      <c r="D7" s="6" t="s">
        <v>356</v>
      </c>
      <c r="E7" s="6" t="s">
        <v>484</v>
      </c>
      <c r="F7" s="6" t="n">
        <f aca="false">COUNTIF(Checklist!$B$5:$B$150,"Ceiling")+COUNTIF(Checklist!$B$5:$B$150,"Walls, plaster &amp; paint")+COUNTIF(Checklist!$B$5:$B$150,"Flooring")+COUNTIF(Checklist!$B$5:$B$150,"Skirting")+COUNTIF(Checklist!$B$5:$B$150,"Windows &amp; sliding doors (aluminium / uPVC)")+COUNTIF(Checklist!$B$5:$B$150,"Electrical points")+COUNTIF(Checklist!$B$5:$B$150,"Kitchen")</f>
        <v>57</v>
      </c>
    </row>
    <row r="8" customFormat="false" ht="15" hidden="false" customHeight="false" outlineLevel="0" collapsed="false">
      <c r="A8" s="8" t="s">
        <v>476</v>
      </c>
      <c r="B8" s="8" t="s">
        <v>485</v>
      </c>
      <c r="C8" s="8" t="s">
        <v>381</v>
      </c>
      <c r="D8" s="8" t="s">
        <v>381</v>
      </c>
      <c r="E8" s="8" t="s">
        <v>486</v>
      </c>
      <c r="F8" s="8" t="n">
        <f aca="false">COUNTIF(Checklist!$B$5:$B$150,"Ceiling")+COUNTIF(Checklist!$B$5:$B$150,"Flooring")+COUNTIF(Checklist!$B$5:$B$150,"Wall tiles / dado")+COUNTIF(Checklist!$B$5:$B$150,"Utility")+COUNTIF(Checklist!$B$5:$B$150,"Electrical points")</f>
        <v>32</v>
      </c>
    </row>
    <row r="9" customFormat="false" ht="15" hidden="false" customHeight="false" outlineLevel="0" collapsed="false">
      <c r="A9" s="6" t="s">
        <v>476</v>
      </c>
      <c r="B9" s="6" t="s">
        <v>487</v>
      </c>
      <c r="C9" s="6" t="s">
        <v>488</v>
      </c>
      <c r="D9" s="6" t="s">
        <v>489</v>
      </c>
      <c r="E9" s="6" t="s">
        <v>490</v>
      </c>
      <c r="F9" s="6" t="n">
        <f aca="false">COUNTIF(Checklist!$B$5:$B$150,"Ceiling")+COUNTIF(Checklist!$B$5:$B$150,"Walls, plaster &amp; paint")+COUNTIF(Checklist!$B$5:$B$150,"Flooring")+COUNTIF(Checklist!$B$5:$B$150,"Skirting")+COUNTIF(Checklist!$B$5:$B$150,"Electrical points")</f>
        <v>34</v>
      </c>
    </row>
    <row r="10" customFormat="false" ht="15" hidden="false" customHeight="false" outlineLevel="0" collapsed="false">
      <c r="A10" s="8" t="s">
        <v>476</v>
      </c>
      <c r="B10" s="8" t="s">
        <v>491</v>
      </c>
      <c r="C10" s="8" t="s">
        <v>492</v>
      </c>
      <c r="D10" s="8" t="s">
        <v>254</v>
      </c>
      <c r="E10" s="8" t="s">
        <v>493</v>
      </c>
      <c r="F10" s="8" t="n">
        <f aca="false">COUNTIF(Checklist!$B$5:$B$150,"Ceiling")+COUNTIF(Checklist!$B$5:$B$150,"Walls, plaster &amp; paint")+COUNTIF(Checklist!$B$5:$B$150,"Flooring")+COUNTIF(Checklist!$B$5:$B$150,"Skirting")+COUNTIF(Checklist!$B$5:$B$150,"Internal wooden door")+COUNTIF(Checklist!$B$5:$B$150,"Windows &amp; sliding doors (aluminium / uPVC)")+COUNTIF(Checklist!$B$5:$B$150,"Electrical points")+COUNTIF(Checklist!$B$5:$B$150,"Air-conditioning provision")+COUNTIF(Checklist!$B$5:$B$150,"Bedroom extras")</f>
        <v>64</v>
      </c>
    </row>
    <row r="11" customFormat="false" ht="15" hidden="false" customHeight="false" outlineLevel="0" collapsed="false">
      <c r="A11" s="6" t="s">
        <v>476</v>
      </c>
      <c r="B11" s="6" t="s">
        <v>494</v>
      </c>
      <c r="C11" s="6" t="s">
        <v>495</v>
      </c>
      <c r="D11" s="6" t="s">
        <v>254</v>
      </c>
      <c r="E11" s="6" t="s">
        <v>493</v>
      </c>
      <c r="F11" s="6" t="n">
        <f aca="false">COUNTIF(Checklist!$B$5:$B$150,"Ceiling")+COUNTIF(Checklist!$B$5:$B$150,"Walls, plaster &amp; paint")+COUNTIF(Checklist!$B$5:$B$150,"Flooring")+COUNTIF(Checklist!$B$5:$B$150,"Skirting")+COUNTIF(Checklist!$B$5:$B$150,"Internal wooden door")+COUNTIF(Checklist!$B$5:$B$150,"Windows &amp; sliding doors (aluminium / uPVC)")+COUNTIF(Checklist!$B$5:$B$150,"Electrical points")+COUNTIF(Checklist!$B$5:$B$150,"Air-conditioning provision")+COUNTIF(Checklist!$B$5:$B$150,"Bedroom extras")</f>
        <v>64</v>
      </c>
    </row>
    <row r="12" customFormat="false" ht="15" hidden="false" customHeight="false" outlineLevel="0" collapsed="false">
      <c r="A12" s="8" t="s">
        <v>476</v>
      </c>
      <c r="B12" s="8" t="s">
        <v>496</v>
      </c>
      <c r="C12" s="8" t="s">
        <v>497</v>
      </c>
      <c r="D12" s="8" t="s">
        <v>269</v>
      </c>
      <c r="E12" s="8" t="s">
        <v>498</v>
      </c>
      <c r="F12" s="8" t="n">
        <f aca="false">COUNTIF(Checklist!$B$5:$B$150,"Ceiling")+COUNTIF(Checklist!$B$5:$B$150,"Internal wooden door")+COUNTIF(Checklist!$B$5:$B$150,"Wet area floor &amp; waterproofing")+COUNTIF(Checklist!$B$5:$B$150,"Wall tiles / dado")+COUNTIF(Checklist!$B$5:$B$150,"Sanitary ware")+COUNTIF(Checklist!$B$5:$B$150,"CP fittings &amp; water supply")+COUNTIF(Checklist!$B$5:$B$150,"Ventilation")+COUNTIF(Checklist!$B$5:$B$150,"Electrical points")</f>
        <v>54</v>
      </c>
    </row>
    <row r="13" customFormat="false" ht="15" hidden="false" customHeight="false" outlineLevel="0" collapsed="false">
      <c r="A13" s="6" t="s">
        <v>476</v>
      </c>
      <c r="B13" s="6" t="s">
        <v>499</v>
      </c>
      <c r="C13" s="6" t="s">
        <v>500</v>
      </c>
      <c r="D13" s="6" t="s">
        <v>269</v>
      </c>
      <c r="E13" s="6" t="s">
        <v>498</v>
      </c>
      <c r="F13" s="6" t="n">
        <f aca="false">COUNTIF(Checklist!$B$5:$B$150,"Ceiling")+COUNTIF(Checklist!$B$5:$B$150,"Internal wooden door")+COUNTIF(Checklist!$B$5:$B$150,"Wet area floor &amp; waterproofing")+COUNTIF(Checklist!$B$5:$B$150,"Wall tiles / dado")+COUNTIF(Checklist!$B$5:$B$150,"Sanitary ware")+COUNTIF(Checklist!$B$5:$B$150,"CP fittings &amp; water supply")+COUNTIF(Checklist!$B$5:$B$150,"Ventilation")+COUNTIF(Checklist!$B$5:$B$150,"Electrical points")</f>
        <v>54</v>
      </c>
    </row>
    <row r="14" customFormat="false" ht="15" hidden="false" customHeight="false" outlineLevel="0" collapsed="false">
      <c r="A14" s="8" t="s">
        <v>476</v>
      </c>
      <c r="B14" s="8" t="s">
        <v>501</v>
      </c>
      <c r="C14" s="8" t="s">
        <v>502</v>
      </c>
      <c r="D14" s="8" t="s">
        <v>393</v>
      </c>
      <c r="E14" s="8" t="s">
        <v>503</v>
      </c>
      <c r="F14" s="8" t="n">
        <f aca="false">COUNTIF(Checklist!$B$5:$B$150,"Ceiling")+COUNTIF(Checklist!$B$5:$B$150,"Flooring")+COUNTIF(Checklist!$B$5:$B$150,"Windows &amp; sliding doors (aluminium / uPVC)")+COUNTIF(Checklist!$B$5:$B$150,"Balcony")</f>
        <v>39</v>
      </c>
    </row>
    <row r="15" customFormat="false" ht="15" hidden="false" customHeight="false" outlineLevel="0" collapsed="false">
      <c r="A15" s="6" t="s">
        <v>476</v>
      </c>
      <c r="B15" s="6" t="s">
        <v>504</v>
      </c>
      <c r="C15" s="6" t="s">
        <v>505</v>
      </c>
      <c r="D15" s="6" t="s">
        <v>393</v>
      </c>
      <c r="E15" s="6" t="s">
        <v>503</v>
      </c>
      <c r="F15" s="6" t="n">
        <f aca="false">COUNTIF(Checklist!$B$5:$B$150,"Ceiling")+COUNTIF(Checklist!$B$5:$B$150,"Flooring")+COUNTIF(Checklist!$B$5:$B$150,"Windows &amp; sliding doors (aluminium / uPVC)")+COUNTIF(Checklist!$B$5:$B$150,"Balcony")</f>
        <v>39</v>
      </c>
    </row>
    <row r="16" customFormat="false" ht="15" hidden="false" customHeight="false" outlineLevel="0" collapsed="false">
      <c r="A16" s="8" t="s">
        <v>476</v>
      </c>
      <c r="B16" s="8" t="s">
        <v>506</v>
      </c>
      <c r="C16" s="8" t="s">
        <v>507</v>
      </c>
      <c r="D16" s="8" t="s">
        <v>421</v>
      </c>
      <c r="E16" s="8" t="s">
        <v>508</v>
      </c>
      <c r="F16" s="8" t="n">
        <f aca="false">COUNTIF(Checklist!$B$5:$B$150,"Whole flat / services")</f>
        <v>18</v>
      </c>
    </row>
    <row r="17" customFormat="false" ht="15" hidden="false" customHeight="false" outlineLevel="0" collapsed="false">
      <c r="E17" s="3" t="s">
        <v>509</v>
      </c>
      <c r="F17" s="3" t="n">
        <f aca="false">SUM(F5:F16)</f>
        <v>550</v>
      </c>
    </row>
    <row r="19" customFormat="false" ht="15" hidden="false" customHeight="false" outlineLevel="0" collapsed="false">
      <c r="A19" s="6" t="s">
        <v>510</v>
      </c>
      <c r="B19" s="6" t="s">
        <v>477</v>
      </c>
      <c r="C19" s="6" t="s">
        <v>478</v>
      </c>
      <c r="D19" s="6" t="s">
        <v>159</v>
      </c>
      <c r="E19" s="6" t="s">
        <v>479</v>
      </c>
      <c r="F19" s="6" t="n">
        <f aca="false">COUNTIF(Checklist!$B$5:$B$150,"Ceiling")+COUNTIF(Checklist!$B$5:$B$150,"Walls, plaster &amp; paint")+COUNTIF(Checklist!$B$5:$B$150,"Flooring")+COUNTIF(Checklist!$B$5:$B$150,"Skirting")+COUNTIF(Checklist!$B$5:$B$150,"Main entrance door")+COUNTIF(Checklist!$B$5:$B$150,"Electrical points")+COUNTIF(Checklist!$B$5:$B$150,"Foyer extras")</f>
        <v>43</v>
      </c>
    </row>
    <row r="20" customFormat="false" ht="15" hidden="false" customHeight="false" outlineLevel="0" collapsed="false">
      <c r="A20" s="8" t="s">
        <v>510</v>
      </c>
      <c r="B20" s="8" t="s">
        <v>480</v>
      </c>
      <c r="C20" s="8" t="s">
        <v>481</v>
      </c>
      <c r="D20" s="8" t="s">
        <v>481</v>
      </c>
      <c r="E20" s="8" t="s">
        <v>482</v>
      </c>
      <c r="F20" s="8" t="n">
        <f aca="false">COUNTIF(Checklist!$B$5:$B$150,"Ceiling")+COUNTIF(Checklist!$B$5:$B$150,"Walls, plaster &amp; paint")+COUNTIF(Checklist!$B$5:$B$150,"Flooring")+COUNTIF(Checklist!$B$5:$B$150,"Skirting")+COUNTIF(Checklist!$B$5:$B$150,"Windows &amp; sliding doors (aluminium / uPVC)")+COUNTIF(Checklist!$B$5:$B$150,"Electrical points")+COUNTIF(Checklist!$B$5:$B$150,"Air-conditioning provision")</f>
        <v>52</v>
      </c>
    </row>
    <row r="21" customFormat="false" ht="15" hidden="false" customHeight="false" outlineLevel="0" collapsed="false">
      <c r="A21" s="6" t="s">
        <v>510</v>
      </c>
      <c r="B21" s="6" t="s">
        <v>483</v>
      </c>
      <c r="C21" s="6" t="s">
        <v>356</v>
      </c>
      <c r="D21" s="6" t="s">
        <v>356</v>
      </c>
      <c r="E21" s="6" t="s">
        <v>484</v>
      </c>
      <c r="F21" s="6" t="n">
        <f aca="false">COUNTIF(Checklist!$B$5:$B$150,"Ceiling")+COUNTIF(Checklist!$B$5:$B$150,"Walls, plaster &amp; paint")+COUNTIF(Checklist!$B$5:$B$150,"Flooring")+COUNTIF(Checklist!$B$5:$B$150,"Skirting")+COUNTIF(Checklist!$B$5:$B$150,"Windows &amp; sliding doors (aluminium / uPVC)")+COUNTIF(Checklist!$B$5:$B$150,"Electrical points")+COUNTIF(Checklist!$B$5:$B$150,"Kitchen")</f>
        <v>57</v>
      </c>
    </row>
    <row r="22" customFormat="false" ht="15" hidden="false" customHeight="false" outlineLevel="0" collapsed="false">
      <c r="A22" s="8" t="s">
        <v>510</v>
      </c>
      <c r="B22" s="8" t="s">
        <v>485</v>
      </c>
      <c r="C22" s="8" t="s">
        <v>381</v>
      </c>
      <c r="D22" s="8" t="s">
        <v>381</v>
      </c>
      <c r="E22" s="8" t="s">
        <v>486</v>
      </c>
      <c r="F22" s="8" t="n">
        <f aca="false">COUNTIF(Checklist!$B$5:$B$150,"Ceiling")+COUNTIF(Checklist!$B$5:$B$150,"Flooring")+COUNTIF(Checklist!$B$5:$B$150,"Wall tiles / dado")+COUNTIF(Checklist!$B$5:$B$150,"Utility")+COUNTIF(Checklist!$B$5:$B$150,"Electrical points")</f>
        <v>32</v>
      </c>
    </row>
    <row r="23" customFormat="false" ht="15" hidden="false" customHeight="false" outlineLevel="0" collapsed="false">
      <c r="A23" s="6" t="s">
        <v>510</v>
      </c>
      <c r="B23" s="6" t="s">
        <v>487</v>
      </c>
      <c r="C23" s="6" t="s">
        <v>488</v>
      </c>
      <c r="D23" s="6" t="s">
        <v>489</v>
      </c>
      <c r="E23" s="6" t="s">
        <v>490</v>
      </c>
      <c r="F23" s="6" t="n">
        <f aca="false">COUNTIF(Checklist!$B$5:$B$150,"Ceiling")+COUNTIF(Checklist!$B$5:$B$150,"Walls, plaster &amp; paint")+COUNTIF(Checklist!$B$5:$B$150,"Flooring")+COUNTIF(Checklist!$B$5:$B$150,"Skirting")+COUNTIF(Checklist!$B$5:$B$150,"Electrical points")</f>
        <v>34</v>
      </c>
    </row>
    <row r="24" customFormat="false" ht="15" hidden="false" customHeight="false" outlineLevel="0" collapsed="false">
      <c r="A24" s="8" t="s">
        <v>510</v>
      </c>
      <c r="B24" s="8" t="s">
        <v>491</v>
      </c>
      <c r="C24" s="8" t="s">
        <v>492</v>
      </c>
      <c r="D24" s="8" t="s">
        <v>254</v>
      </c>
      <c r="E24" s="8" t="s">
        <v>493</v>
      </c>
      <c r="F24" s="8" t="n">
        <f aca="false">COUNTIF(Checklist!$B$5:$B$150,"Ceiling")+COUNTIF(Checklist!$B$5:$B$150,"Walls, plaster &amp; paint")+COUNTIF(Checklist!$B$5:$B$150,"Flooring")+COUNTIF(Checklist!$B$5:$B$150,"Skirting")+COUNTIF(Checklist!$B$5:$B$150,"Internal wooden door")+COUNTIF(Checklist!$B$5:$B$150,"Windows &amp; sliding doors (aluminium / uPVC)")+COUNTIF(Checklist!$B$5:$B$150,"Electrical points")+COUNTIF(Checklist!$B$5:$B$150,"Air-conditioning provision")+COUNTIF(Checklist!$B$5:$B$150,"Bedroom extras")</f>
        <v>64</v>
      </c>
    </row>
    <row r="25" customFormat="false" ht="15" hidden="false" customHeight="false" outlineLevel="0" collapsed="false">
      <c r="A25" s="6" t="s">
        <v>510</v>
      </c>
      <c r="B25" s="6" t="s">
        <v>494</v>
      </c>
      <c r="C25" s="6" t="s">
        <v>495</v>
      </c>
      <c r="D25" s="6" t="s">
        <v>254</v>
      </c>
      <c r="E25" s="6" t="s">
        <v>493</v>
      </c>
      <c r="F25" s="6" t="n">
        <f aca="false">COUNTIF(Checklist!$B$5:$B$150,"Ceiling")+COUNTIF(Checklist!$B$5:$B$150,"Walls, plaster &amp; paint")+COUNTIF(Checklist!$B$5:$B$150,"Flooring")+COUNTIF(Checklist!$B$5:$B$150,"Skirting")+COUNTIF(Checklist!$B$5:$B$150,"Internal wooden door")+COUNTIF(Checklist!$B$5:$B$150,"Windows &amp; sliding doors (aluminium / uPVC)")+COUNTIF(Checklist!$B$5:$B$150,"Electrical points")+COUNTIF(Checklist!$B$5:$B$150,"Air-conditioning provision")+COUNTIF(Checklist!$B$5:$B$150,"Bedroom extras")</f>
        <v>64</v>
      </c>
    </row>
    <row r="26" customFormat="false" ht="15" hidden="false" customHeight="false" outlineLevel="0" collapsed="false">
      <c r="A26" s="8" t="s">
        <v>510</v>
      </c>
      <c r="B26" s="8" t="s">
        <v>511</v>
      </c>
      <c r="C26" s="8" t="s">
        <v>512</v>
      </c>
      <c r="D26" s="8" t="s">
        <v>254</v>
      </c>
      <c r="E26" s="8" t="s">
        <v>493</v>
      </c>
      <c r="F26" s="8" t="n">
        <f aca="false">COUNTIF(Checklist!$B$5:$B$150,"Ceiling")+COUNTIF(Checklist!$B$5:$B$150,"Walls, plaster &amp; paint")+COUNTIF(Checklist!$B$5:$B$150,"Flooring")+COUNTIF(Checklist!$B$5:$B$150,"Skirting")+COUNTIF(Checklist!$B$5:$B$150,"Internal wooden door")+COUNTIF(Checklist!$B$5:$B$150,"Windows &amp; sliding doors (aluminium / uPVC)")+COUNTIF(Checklist!$B$5:$B$150,"Electrical points")+COUNTIF(Checklist!$B$5:$B$150,"Air-conditioning provision")+COUNTIF(Checklist!$B$5:$B$150,"Bedroom extras")</f>
        <v>64</v>
      </c>
    </row>
    <row r="27" customFormat="false" ht="15" hidden="false" customHeight="false" outlineLevel="0" collapsed="false">
      <c r="A27" s="6" t="s">
        <v>510</v>
      </c>
      <c r="B27" s="6" t="s">
        <v>496</v>
      </c>
      <c r="C27" s="6" t="s">
        <v>497</v>
      </c>
      <c r="D27" s="6" t="s">
        <v>269</v>
      </c>
      <c r="E27" s="6" t="s">
        <v>498</v>
      </c>
      <c r="F27" s="6" t="n">
        <f aca="false">COUNTIF(Checklist!$B$5:$B$150,"Ceiling")+COUNTIF(Checklist!$B$5:$B$150,"Internal wooden door")+COUNTIF(Checklist!$B$5:$B$150,"Wet area floor &amp; waterproofing")+COUNTIF(Checklist!$B$5:$B$150,"Wall tiles / dado")+COUNTIF(Checklist!$B$5:$B$150,"Sanitary ware")+COUNTIF(Checklist!$B$5:$B$150,"CP fittings &amp; water supply")+COUNTIF(Checklist!$B$5:$B$150,"Ventilation")+COUNTIF(Checklist!$B$5:$B$150,"Electrical points")</f>
        <v>54</v>
      </c>
    </row>
    <row r="28" customFormat="false" ht="15" hidden="false" customHeight="false" outlineLevel="0" collapsed="false">
      <c r="A28" s="8" t="s">
        <v>510</v>
      </c>
      <c r="B28" s="8" t="s">
        <v>499</v>
      </c>
      <c r="C28" s="8" t="s">
        <v>513</v>
      </c>
      <c r="D28" s="8" t="s">
        <v>269</v>
      </c>
      <c r="E28" s="8" t="s">
        <v>498</v>
      </c>
      <c r="F28" s="8" t="n">
        <f aca="false">COUNTIF(Checklist!$B$5:$B$150,"Ceiling")+COUNTIF(Checklist!$B$5:$B$150,"Internal wooden door")+COUNTIF(Checklist!$B$5:$B$150,"Wet area floor &amp; waterproofing")+COUNTIF(Checklist!$B$5:$B$150,"Wall tiles / dado")+COUNTIF(Checklist!$B$5:$B$150,"Sanitary ware")+COUNTIF(Checklist!$B$5:$B$150,"CP fittings &amp; water supply")+COUNTIF(Checklist!$B$5:$B$150,"Ventilation")+COUNTIF(Checklist!$B$5:$B$150,"Electrical points")</f>
        <v>54</v>
      </c>
    </row>
    <row r="29" customFormat="false" ht="15" hidden="false" customHeight="false" outlineLevel="0" collapsed="false">
      <c r="A29" s="6" t="s">
        <v>510</v>
      </c>
      <c r="B29" s="6" t="s">
        <v>514</v>
      </c>
      <c r="C29" s="6" t="s">
        <v>515</v>
      </c>
      <c r="D29" s="6" t="s">
        <v>269</v>
      </c>
      <c r="E29" s="6" t="s">
        <v>498</v>
      </c>
      <c r="F29" s="6" t="n">
        <f aca="false">COUNTIF(Checklist!$B$5:$B$150,"Ceiling")+COUNTIF(Checklist!$B$5:$B$150,"Internal wooden door")+COUNTIF(Checklist!$B$5:$B$150,"Wet area floor &amp; waterproofing")+COUNTIF(Checklist!$B$5:$B$150,"Wall tiles / dado")+COUNTIF(Checklist!$B$5:$B$150,"Sanitary ware")+COUNTIF(Checklist!$B$5:$B$150,"CP fittings &amp; water supply")+COUNTIF(Checklist!$B$5:$B$150,"Ventilation")+COUNTIF(Checklist!$B$5:$B$150,"Electrical points")</f>
        <v>54</v>
      </c>
    </row>
    <row r="30" customFormat="false" ht="15" hidden="false" customHeight="false" outlineLevel="0" collapsed="false">
      <c r="A30" s="8" t="s">
        <v>510</v>
      </c>
      <c r="B30" s="8" t="s">
        <v>501</v>
      </c>
      <c r="C30" s="8" t="s">
        <v>502</v>
      </c>
      <c r="D30" s="8" t="s">
        <v>393</v>
      </c>
      <c r="E30" s="8" t="s">
        <v>503</v>
      </c>
      <c r="F30" s="8" t="n">
        <f aca="false">COUNTIF(Checklist!$B$5:$B$150,"Ceiling")+COUNTIF(Checklist!$B$5:$B$150,"Flooring")+COUNTIF(Checklist!$B$5:$B$150,"Windows &amp; sliding doors (aluminium / uPVC)")+COUNTIF(Checklist!$B$5:$B$150,"Balcony")</f>
        <v>39</v>
      </c>
    </row>
    <row r="31" customFormat="false" ht="15" hidden="false" customHeight="false" outlineLevel="0" collapsed="false">
      <c r="A31" s="6" t="s">
        <v>510</v>
      </c>
      <c r="B31" s="6" t="s">
        <v>504</v>
      </c>
      <c r="C31" s="6" t="s">
        <v>505</v>
      </c>
      <c r="D31" s="6" t="s">
        <v>393</v>
      </c>
      <c r="E31" s="6" t="s">
        <v>503</v>
      </c>
      <c r="F31" s="6" t="n">
        <f aca="false">COUNTIF(Checklist!$B$5:$B$150,"Ceiling")+COUNTIF(Checklist!$B$5:$B$150,"Flooring")+COUNTIF(Checklist!$B$5:$B$150,"Windows &amp; sliding doors (aluminium / uPVC)")+COUNTIF(Checklist!$B$5:$B$150,"Balcony")</f>
        <v>39</v>
      </c>
    </row>
    <row r="32" customFormat="false" ht="15" hidden="false" customHeight="false" outlineLevel="0" collapsed="false">
      <c r="A32" s="8" t="s">
        <v>510</v>
      </c>
      <c r="B32" s="8" t="s">
        <v>506</v>
      </c>
      <c r="C32" s="8" t="s">
        <v>507</v>
      </c>
      <c r="D32" s="8" t="s">
        <v>421</v>
      </c>
      <c r="E32" s="8" t="s">
        <v>508</v>
      </c>
      <c r="F32" s="8" t="n">
        <f aca="false">COUNTIF(Checklist!$B$5:$B$150,"Whole flat / services")</f>
        <v>18</v>
      </c>
    </row>
    <row r="33" customFormat="false" ht="15" hidden="false" customHeight="false" outlineLevel="0" collapsed="false">
      <c r="E33" s="3" t="s">
        <v>516</v>
      </c>
      <c r="F33" s="3" t="n">
        <f aca="false">SUM(F19:F32)</f>
        <v>668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2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6</v>
      </c>
    </row>
    <row r="2" customFormat="false" ht="15" hidden="false" customHeight="false" outlineLevel="0" collapsed="false">
      <c r="A2" s="2" t="s">
        <v>517</v>
      </c>
    </row>
    <row r="4" customFormat="false" ht="15" hidden="false" customHeight="false" outlineLevel="0" collapsed="false">
      <c r="A4" s="5" t="s">
        <v>518</v>
      </c>
      <c r="B4" s="5" t="s">
        <v>519</v>
      </c>
      <c r="C4" s="5" t="s">
        <v>520</v>
      </c>
      <c r="D4" s="5" t="s">
        <v>521</v>
      </c>
    </row>
    <row r="5" customFormat="false" ht="15" hidden="false" customHeight="false" outlineLevel="0" collapsed="false">
      <c r="A5" s="6" t="s">
        <v>522</v>
      </c>
      <c r="B5" s="6" t="s">
        <v>84</v>
      </c>
      <c r="C5" s="6" t="n">
        <f aca="false">COUNTIF(Checklist!$E$5:$E$150,B5)</f>
        <v>9</v>
      </c>
      <c r="D5" s="6" t="n">
        <f aca="false">COUNTIFS(Checklist!$E$5:$E$150,B5,Checklist!$F$5:$F$150,"Critical")</f>
        <v>1</v>
      </c>
    </row>
    <row r="6" customFormat="false" ht="15" hidden="false" customHeight="false" outlineLevel="0" collapsed="false">
      <c r="A6" s="8" t="s">
        <v>523</v>
      </c>
      <c r="B6" s="8" t="s">
        <v>30</v>
      </c>
      <c r="C6" s="8" t="n">
        <f aca="false">COUNTIF(Checklist!$E$5:$E$150,B6)</f>
        <v>10</v>
      </c>
      <c r="D6" s="8" t="n">
        <f aca="false">COUNTIFS(Checklist!$E$5:$E$150,B6,Checklist!$F$5:$F$150,"Critical")</f>
        <v>0</v>
      </c>
    </row>
    <row r="7" customFormat="false" ht="15" hidden="false" customHeight="false" outlineLevel="0" collapsed="false">
      <c r="A7" s="6" t="s">
        <v>524</v>
      </c>
      <c r="B7" s="6" t="s">
        <v>41</v>
      </c>
      <c r="C7" s="6" t="n">
        <f aca="false">COUNTIF(Checklist!$E$5:$E$150,B7)</f>
        <v>4</v>
      </c>
      <c r="D7" s="6" t="n">
        <f aca="false">COUNTIFS(Checklist!$E$5:$E$150,B7,Checklist!$F$5:$F$150,"Critical")</f>
        <v>0</v>
      </c>
    </row>
    <row r="8" customFormat="false" ht="15" hidden="false" customHeight="false" outlineLevel="0" collapsed="false">
      <c r="A8" s="8" t="s">
        <v>525</v>
      </c>
      <c r="B8" s="8" t="s">
        <v>89</v>
      </c>
      <c r="C8" s="8" t="n">
        <f aca="false">COUNTIF(Checklist!$E$5:$E$150,B8)</f>
        <v>26</v>
      </c>
      <c r="D8" s="8" t="n">
        <f aca="false">COUNTIFS(Checklist!$E$5:$E$150,B8,Checklist!$F$5:$F$150,"Critical")</f>
        <v>0</v>
      </c>
    </row>
    <row r="9" customFormat="false" ht="15" hidden="false" customHeight="false" outlineLevel="0" collapsed="false">
      <c r="A9" s="6" t="s">
        <v>526</v>
      </c>
      <c r="B9" s="6" t="s">
        <v>126</v>
      </c>
      <c r="C9" s="6" t="n">
        <f aca="false">COUNTIF(Checklist!$E$5:$E$150,B9)</f>
        <v>17</v>
      </c>
      <c r="D9" s="6" t="n">
        <f aca="false">COUNTIFS(Checklist!$E$5:$E$150,B9,Checklist!$F$5:$F$150,"Critical")</f>
        <v>0</v>
      </c>
    </row>
    <row r="10" customFormat="false" ht="15" hidden="false" customHeight="false" outlineLevel="0" collapsed="false">
      <c r="A10" s="8" t="s">
        <v>527</v>
      </c>
      <c r="B10" s="8" t="s">
        <v>179</v>
      </c>
      <c r="C10" s="8" t="n">
        <f aca="false">COUNTIF(Checklist!$E$5:$E$150,B10)</f>
        <v>9</v>
      </c>
      <c r="D10" s="8" t="n">
        <f aca="false">COUNTIFS(Checklist!$E$5:$E$150,B10,Checklist!$F$5:$F$150,"Critical")</f>
        <v>0</v>
      </c>
    </row>
    <row r="11" customFormat="false" ht="15" hidden="false" customHeight="false" outlineLevel="0" collapsed="false">
      <c r="A11" s="6" t="s">
        <v>528</v>
      </c>
      <c r="B11" s="6" t="s">
        <v>195</v>
      </c>
      <c r="C11" s="6" t="n">
        <f aca="false">COUNTIF(Checklist!$E$5:$E$150,B11)</f>
        <v>3</v>
      </c>
      <c r="D11" s="6" t="n">
        <f aca="false">COUNTIFS(Checklist!$E$5:$E$150,B11,Checklist!$F$5:$F$150,"Critical")</f>
        <v>1</v>
      </c>
    </row>
    <row r="12" customFormat="false" ht="15" hidden="false" customHeight="false" outlineLevel="0" collapsed="false">
      <c r="A12" s="8" t="s">
        <v>529</v>
      </c>
      <c r="B12" s="8" t="s">
        <v>51</v>
      </c>
      <c r="C12" s="8" t="n">
        <f aca="false">COUNTIF(Checklist!$E$5:$E$150,B12)</f>
        <v>20</v>
      </c>
      <c r="D12" s="8" t="n">
        <f aca="false">COUNTIFS(Checklist!$E$5:$E$150,B12,Checklist!$F$5:$F$150,"Critical")</f>
        <v>2</v>
      </c>
    </row>
    <row r="13" customFormat="false" ht="15" hidden="false" customHeight="false" outlineLevel="0" collapsed="false">
      <c r="A13" s="6" t="s">
        <v>530</v>
      </c>
      <c r="B13" s="6" t="s">
        <v>279</v>
      </c>
      <c r="C13" s="6" t="n">
        <f aca="false">COUNTIF(Checklist!$E$5:$E$150,B13)</f>
        <v>29</v>
      </c>
      <c r="D13" s="6" t="n">
        <f aca="false">COUNTIFS(Checklist!$E$5:$E$150,B13,Checklist!$F$5:$F$150,"Critical")</f>
        <v>1</v>
      </c>
    </row>
    <row r="14" customFormat="false" ht="15" hidden="false" customHeight="false" outlineLevel="0" collapsed="false">
      <c r="A14" s="8" t="s">
        <v>531</v>
      </c>
      <c r="B14" s="8" t="s">
        <v>36</v>
      </c>
      <c r="C14" s="8" t="n">
        <f aca="false">COUNTIF(Checklist!$E$5:$E$150,B14)</f>
        <v>5</v>
      </c>
      <c r="D14" s="8" t="n">
        <f aca="false">COUNTIFS(Checklist!$E$5:$E$150,B14,Checklist!$F$5:$F$150,"Critical")</f>
        <v>2</v>
      </c>
    </row>
    <row r="15" customFormat="false" ht="15" hidden="false" customHeight="false" outlineLevel="0" collapsed="false">
      <c r="A15" s="6" t="s">
        <v>532</v>
      </c>
      <c r="B15" s="6" t="s">
        <v>240</v>
      </c>
      <c r="C15" s="6" t="n">
        <f aca="false">COUNTIF(Checklist!$E$5:$E$150,B15)</f>
        <v>5</v>
      </c>
      <c r="D15" s="6" t="n">
        <f aca="false">COUNTIFS(Checklist!$E$5:$E$150,B15,Checklist!$F$5:$F$150,"Critical")</f>
        <v>0</v>
      </c>
    </row>
    <row r="16" customFormat="false" ht="15" hidden="false" customHeight="false" outlineLevel="0" collapsed="false">
      <c r="A16" s="8" t="s">
        <v>533</v>
      </c>
      <c r="B16" s="8" t="s">
        <v>55</v>
      </c>
      <c r="C16" s="8" t="n">
        <f aca="false">COUNTIF(Checklist!$E$5:$E$150,B16)</f>
        <v>2</v>
      </c>
      <c r="D16" s="8" t="n">
        <f aca="false">COUNTIFS(Checklist!$E$5:$E$150,B16,Checklist!$F$5:$F$150,"Critical")</f>
        <v>2</v>
      </c>
    </row>
    <row r="17" customFormat="false" ht="15" hidden="false" customHeight="false" outlineLevel="0" collapsed="false">
      <c r="A17" s="6" t="s">
        <v>534</v>
      </c>
      <c r="B17" s="6" t="s">
        <v>214</v>
      </c>
      <c r="C17" s="6" t="n">
        <f aca="false">COUNTIF(Checklist!$E$5:$E$150,B17)</f>
        <v>4</v>
      </c>
      <c r="D17" s="6" t="n">
        <f aca="false">COUNTIFS(Checklist!$E$5:$E$150,B17,Checklist!$F$5:$F$150,"Critical")</f>
        <v>3</v>
      </c>
    </row>
    <row r="18" customFormat="false" ht="15" hidden="false" customHeight="false" outlineLevel="0" collapsed="false">
      <c r="A18" s="8" t="s">
        <v>535</v>
      </c>
      <c r="B18" s="8" t="s">
        <v>112</v>
      </c>
      <c r="C18" s="8" t="n">
        <f aca="false">COUNTIF(Checklist!$E$5:$E$150,B18)</f>
        <v>3</v>
      </c>
      <c r="D18" s="8" t="n">
        <f aca="false">COUNTIFS(Checklist!$E$5:$E$150,B18,Checklist!$F$5:$F$150,"Critical")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1" t="s">
        <v>8</v>
      </c>
    </row>
    <row r="2" customFormat="false" ht="15" hidden="false" customHeight="false" outlineLevel="0" collapsed="false">
      <c r="A2" s="2" t="s">
        <v>536</v>
      </c>
    </row>
    <row r="4" customFormat="false" ht="15" hidden="false" customHeight="false" outlineLevel="0" collapsed="false">
      <c r="A4" s="5" t="s">
        <v>8</v>
      </c>
      <c r="B4" s="5" t="s">
        <v>537</v>
      </c>
      <c r="C4" s="5" t="s">
        <v>538</v>
      </c>
    </row>
    <row r="5" customFormat="false" ht="15" hidden="false" customHeight="false" outlineLevel="0" collapsed="false">
      <c r="A5" s="11" t="s">
        <v>56</v>
      </c>
      <c r="B5" s="6" t="s">
        <v>539</v>
      </c>
      <c r="C5" s="6" t="n">
        <f aca="false">COUNTIF(Checklist!$F$5:$F$150,A5)</f>
        <v>12</v>
      </c>
    </row>
    <row r="6" customFormat="false" ht="15" hidden="false" customHeight="false" outlineLevel="0" collapsed="false">
      <c r="A6" s="12" t="s">
        <v>37</v>
      </c>
      <c r="B6" s="6" t="s">
        <v>540</v>
      </c>
      <c r="C6" s="6" t="n">
        <f aca="false">COUNTIF(Checklist!$F$5:$F$150,A6)</f>
        <v>46</v>
      </c>
    </row>
    <row r="7" customFormat="false" ht="15" hidden="false" customHeight="false" outlineLevel="0" collapsed="false">
      <c r="A7" s="7" t="s">
        <v>31</v>
      </c>
      <c r="B7" s="6" t="s">
        <v>541</v>
      </c>
      <c r="C7" s="6" t="n">
        <f aca="false">COUNTIF(Checklist!$F$5:$F$150,A7)</f>
        <v>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0"/>
    <col collapsed="false" customWidth="true" hidden="false" outlineLevel="0" max="3" min="3" style="0" width="30"/>
  </cols>
  <sheetData>
    <row r="1" customFormat="false" ht="17.35" hidden="false" customHeight="false" outlineLevel="0" collapsed="false">
      <c r="A1" s="1" t="s">
        <v>542</v>
      </c>
    </row>
    <row r="2" customFormat="false" ht="15" hidden="false" customHeight="false" outlineLevel="0" collapsed="false">
      <c r="A2" s="2" t="s">
        <v>543</v>
      </c>
    </row>
    <row r="4" customFormat="false" ht="15" hidden="false" customHeight="false" outlineLevel="0" collapsed="false">
      <c r="A4" s="5" t="s">
        <v>544</v>
      </c>
      <c r="B4" s="5" t="s">
        <v>545</v>
      </c>
      <c r="C4" s="5" t="s">
        <v>463</v>
      </c>
    </row>
    <row r="5" customFormat="false" ht="15" hidden="false" customHeight="false" outlineLevel="0" collapsed="false">
      <c r="A5" s="6" t="s">
        <v>546</v>
      </c>
      <c r="B5" s="6" t="s">
        <v>547</v>
      </c>
      <c r="C5" s="6" t="s">
        <v>548</v>
      </c>
    </row>
    <row r="6" customFormat="false" ht="15" hidden="false" customHeight="false" outlineLevel="0" collapsed="false">
      <c r="A6" s="6" t="s">
        <v>546</v>
      </c>
      <c r="B6" s="6" t="s">
        <v>549</v>
      </c>
      <c r="C6" s="6" t="s">
        <v>548</v>
      </c>
    </row>
    <row r="7" customFormat="false" ht="15" hidden="false" customHeight="false" outlineLevel="0" collapsed="false">
      <c r="A7" s="6" t="s">
        <v>546</v>
      </c>
      <c r="B7" s="6" t="s">
        <v>550</v>
      </c>
      <c r="C7" s="6" t="s">
        <v>551</v>
      </c>
    </row>
    <row r="8" customFormat="false" ht="15" hidden="false" customHeight="false" outlineLevel="0" collapsed="false">
      <c r="A8" s="6" t="s">
        <v>546</v>
      </c>
      <c r="B8" s="6" t="s">
        <v>552</v>
      </c>
      <c r="C8" s="6" t="s">
        <v>551</v>
      </c>
    </row>
    <row r="9" customFormat="false" ht="15" hidden="false" customHeight="false" outlineLevel="0" collapsed="false">
      <c r="A9" s="6" t="s">
        <v>553</v>
      </c>
      <c r="B9" s="6" t="s">
        <v>554</v>
      </c>
      <c r="C9" s="6" t="s">
        <v>555</v>
      </c>
    </row>
    <row r="10" customFormat="false" ht="15" hidden="false" customHeight="false" outlineLevel="0" collapsed="false">
      <c r="A10" s="6" t="s">
        <v>553</v>
      </c>
      <c r="B10" s="6" t="s">
        <v>556</v>
      </c>
      <c r="C10" s="6" t="s">
        <v>555</v>
      </c>
    </row>
    <row r="11" customFormat="false" ht="15" hidden="false" customHeight="false" outlineLevel="0" collapsed="false">
      <c r="A11" s="6" t="s">
        <v>553</v>
      </c>
      <c r="B11" s="6" t="s">
        <v>557</v>
      </c>
      <c r="C11" s="6" t="s">
        <v>555</v>
      </c>
    </row>
    <row r="12" customFormat="false" ht="15" hidden="false" customHeight="false" outlineLevel="0" collapsed="false">
      <c r="A12" s="6" t="s">
        <v>553</v>
      </c>
      <c r="B12" s="6" t="s">
        <v>558</v>
      </c>
      <c r="C12" s="6" t="s">
        <v>555</v>
      </c>
    </row>
    <row r="13" customFormat="false" ht="15" hidden="false" customHeight="false" outlineLevel="0" collapsed="false">
      <c r="A13" s="6" t="s">
        <v>559</v>
      </c>
      <c r="B13" s="6" t="s">
        <v>560</v>
      </c>
      <c r="C13" s="6" t="s">
        <v>561</v>
      </c>
    </row>
    <row r="14" customFormat="false" ht="15" hidden="false" customHeight="false" outlineLevel="0" collapsed="false">
      <c r="A14" s="6" t="s">
        <v>559</v>
      </c>
      <c r="B14" s="6" t="s">
        <v>562</v>
      </c>
      <c r="C14" s="6" t="s">
        <v>561</v>
      </c>
    </row>
    <row r="15" customFormat="false" ht="15" hidden="false" customHeight="false" outlineLevel="0" collapsed="false">
      <c r="A15" s="6" t="s">
        <v>559</v>
      </c>
      <c r="B15" s="6" t="s">
        <v>563</v>
      </c>
      <c r="C15" s="6" t="s">
        <v>561</v>
      </c>
    </row>
    <row r="16" customFormat="false" ht="15" hidden="false" customHeight="false" outlineLevel="0" collapsed="false">
      <c r="A16" s="6" t="s">
        <v>559</v>
      </c>
      <c r="B16" s="6" t="s">
        <v>564</v>
      </c>
      <c r="C16" s="6" t="s">
        <v>561</v>
      </c>
    </row>
    <row r="17" customFormat="false" ht="15" hidden="false" customHeight="false" outlineLevel="0" collapsed="false">
      <c r="A17" s="6" t="s">
        <v>559</v>
      </c>
      <c r="B17" s="6" t="s">
        <v>565</v>
      </c>
      <c r="C17" s="6" t="s">
        <v>561</v>
      </c>
    </row>
    <row r="18" customFormat="false" ht="15" hidden="false" customHeight="false" outlineLevel="0" collapsed="false">
      <c r="A18" s="6" t="s">
        <v>559</v>
      </c>
      <c r="B18" s="6" t="s">
        <v>566</v>
      </c>
      <c r="C18" s="6" t="s">
        <v>561</v>
      </c>
    </row>
    <row r="19" customFormat="false" ht="15" hidden="false" customHeight="false" outlineLevel="0" collapsed="false">
      <c r="A19" s="6" t="s">
        <v>559</v>
      </c>
      <c r="B19" s="6" t="s">
        <v>567</v>
      </c>
      <c r="C19" s="6" t="s">
        <v>561</v>
      </c>
    </row>
    <row r="20" customFormat="false" ht="15" hidden="false" customHeight="false" outlineLevel="0" collapsed="false">
      <c r="A20" s="6" t="s">
        <v>568</v>
      </c>
      <c r="B20" s="6" t="s">
        <v>569</v>
      </c>
      <c r="C20" s="6" t="s">
        <v>551</v>
      </c>
    </row>
    <row r="21" customFormat="false" ht="15" hidden="false" customHeight="false" outlineLevel="0" collapsed="false">
      <c r="A21" s="6" t="s">
        <v>568</v>
      </c>
      <c r="B21" s="6" t="s">
        <v>570</v>
      </c>
      <c r="C21" s="6" t="s">
        <v>551</v>
      </c>
    </row>
    <row r="22" customFormat="false" ht="15" hidden="false" customHeight="false" outlineLevel="0" collapsed="false">
      <c r="A22" s="6" t="s">
        <v>568</v>
      </c>
      <c r="B22" s="6" t="s">
        <v>571</v>
      </c>
      <c r="C22" s="6" t="s">
        <v>551</v>
      </c>
    </row>
    <row r="23" customFormat="false" ht="15" hidden="false" customHeight="false" outlineLevel="0" collapsed="false">
      <c r="A23" s="6" t="s">
        <v>568</v>
      </c>
      <c r="B23" s="6" t="s">
        <v>572</v>
      </c>
      <c r="C23" s="6" t="s">
        <v>551</v>
      </c>
    </row>
    <row r="24" customFormat="false" ht="15" hidden="false" customHeight="false" outlineLevel="0" collapsed="false">
      <c r="A24" s="6" t="s">
        <v>568</v>
      </c>
      <c r="B24" s="6" t="s">
        <v>573</v>
      </c>
      <c r="C24" s="6" t="s">
        <v>551</v>
      </c>
    </row>
    <row r="25" customFormat="false" ht="15" hidden="false" customHeight="false" outlineLevel="0" collapsed="false">
      <c r="A25" s="6" t="s">
        <v>568</v>
      </c>
      <c r="B25" s="6" t="s">
        <v>574</v>
      </c>
      <c r="C25" s="6" t="s">
        <v>551</v>
      </c>
    </row>
    <row r="26" customFormat="false" ht="15" hidden="false" customHeight="false" outlineLevel="0" collapsed="false">
      <c r="A26" s="6" t="s">
        <v>568</v>
      </c>
      <c r="B26" s="6" t="s">
        <v>575</v>
      </c>
      <c r="C26" s="6" t="s">
        <v>551</v>
      </c>
    </row>
    <row r="27" customFormat="false" ht="15" hidden="false" customHeight="false" outlineLevel="0" collapsed="false">
      <c r="A27" s="6" t="s">
        <v>568</v>
      </c>
      <c r="B27" s="6" t="s">
        <v>576</v>
      </c>
      <c r="C27" s="6" t="s">
        <v>551</v>
      </c>
    </row>
    <row r="28" customFormat="false" ht="15" hidden="false" customHeight="false" outlineLevel="0" collapsed="false">
      <c r="A28" s="6" t="s">
        <v>568</v>
      </c>
      <c r="B28" s="6" t="s">
        <v>577</v>
      </c>
      <c r="C28" s="6" t="s">
        <v>551</v>
      </c>
    </row>
    <row r="29" customFormat="false" ht="15" hidden="false" customHeight="false" outlineLevel="0" collapsed="false">
      <c r="A29" s="6" t="s">
        <v>578</v>
      </c>
      <c r="B29" s="6" t="s">
        <v>579</v>
      </c>
      <c r="C29" s="6" t="s">
        <v>551</v>
      </c>
    </row>
    <row r="30" customFormat="false" ht="15" hidden="false" customHeight="false" outlineLevel="0" collapsed="false">
      <c r="A30" s="6" t="s">
        <v>578</v>
      </c>
      <c r="B30" s="6" t="s">
        <v>580</v>
      </c>
      <c r="C30" s="6" t="s">
        <v>551</v>
      </c>
    </row>
    <row r="31" customFormat="false" ht="15" hidden="false" customHeight="false" outlineLevel="0" collapsed="false">
      <c r="A31" s="6" t="s">
        <v>578</v>
      </c>
      <c r="B31" s="6" t="s">
        <v>581</v>
      </c>
      <c r="C31" s="6" t="s">
        <v>551</v>
      </c>
    </row>
    <row r="32" customFormat="false" ht="15" hidden="false" customHeight="false" outlineLevel="0" collapsed="false">
      <c r="A32" s="6" t="s">
        <v>578</v>
      </c>
      <c r="B32" s="6" t="s">
        <v>582</v>
      </c>
      <c r="C32" s="6" t="s">
        <v>551</v>
      </c>
    </row>
    <row r="33" customFormat="false" ht="15" hidden="false" customHeight="false" outlineLevel="0" collapsed="false">
      <c r="A33" s="6" t="s">
        <v>578</v>
      </c>
      <c r="B33" s="6" t="s">
        <v>583</v>
      </c>
      <c r="C33" s="6" t="s">
        <v>551</v>
      </c>
    </row>
    <row r="34" customFormat="false" ht="15" hidden="false" customHeight="false" outlineLevel="0" collapsed="false">
      <c r="A34" s="6" t="s">
        <v>578</v>
      </c>
      <c r="B34" s="6" t="s">
        <v>584</v>
      </c>
      <c r="C34" s="6" t="s">
        <v>551</v>
      </c>
    </row>
    <row r="35" customFormat="false" ht="15" hidden="false" customHeight="false" outlineLevel="0" collapsed="false">
      <c r="A35" s="6" t="s">
        <v>585</v>
      </c>
      <c r="B35" s="6" t="s">
        <v>586</v>
      </c>
      <c r="C35" s="6" t="s">
        <v>587</v>
      </c>
    </row>
    <row r="36" customFormat="false" ht="15" hidden="false" customHeight="false" outlineLevel="0" collapsed="false">
      <c r="A36" s="6" t="s">
        <v>585</v>
      </c>
      <c r="B36" s="6" t="s">
        <v>588</v>
      </c>
      <c r="C36" s="6" t="s">
        <v>587</v>
      </c>
    </row>
    <row r="37" customFormat="false" ht="15" hidden="false" customHeight="false" outlineLevel="0" collapsed="false">
      <c r="A37" s="6" t="s">
        <v>585</v>
      </c>
      <c r="B37" s="6" t="s">
        <v>589</v>
      </c>
      <c r="C37" s="6" t="s">
        <v>587</v>
      </c>
    </row>
    <row r="38" customFormat="false" ht="15" hidden="false" customHeight="false" outlineLevel="0" collapsed="false">
      <c r="A38" s="6" t="s">
        <v>585</v>
      </c>
      <c r="B38" s="6" t="s">
        <v>590</v>
      </c>
      <c r="C38" s="6" t="s">
        <v>587</v>
      </c>
    </row>
    <row r="39" customFormat="false" ht="15" hidden="false" customHeight="false" outlineLevel="0" collapsed="false">
      <c r="A39" s="6" t="s">
        <v>585</v>
      </c>
      <c r="B39" s="6" t="s">
        <v>591</v>
      </c>
      <c r="C39" s="6" t="s">
        <v>587</v>
      </c>
    </row>
    <row r="40" customFormat="false" ht="15" hidden="false" customHeight="false" outlineLevel="0" collapsed="false">
      <c r="A40" s="6" t="s">
        <v>585</v>
      </c>
      <c r="B40" s="6" t="s">
        <v>592</v>
      </c>
      <c r="C40" s="6" t="s">
        <v>587</v>
      </c>
    </row>
    <row r="41" customFormat="false" ht="15" hidden="false" customHeight="false" outlineLevel="0" collapsed="false">
      <c r="A41" s="6" t="s">
        <v>585</v>
      </c>
      <c r="B41" s="6" t="s">
        <v>593</v>
      </c>
      <c r="C41" s="6" t="s">
        <v>587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4" min="3" style="0" width="10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594</v>
      </c>
    </row>
    <row r="4" customFormat="false" ht="15" hidden="false" customHeight="false" outlineLevel="0" collapsed="false">
      <c r="A4" s="5" t="s">
        <v>595</v>
      </c>
      <c r="B4" s="5" t="s">
        <v>596</v>
      </c>
      <c r="C4" s="5" t="s">
        <v>597</v>
      </c>
      <c r="D4" s="5" t="s">
        <v>598</v>
      </c>
      <c r="E4" s="5" t="s">
        <v>599</v>
      </c>
    </row>
    <row r="5" customFormat="false" ht="15" hidden="false" customHeight="false" outlineLevel="0" collapsed="false">
      <c r="A5" s="14" t="s">
        <v>600</v>
      </c>
      <c r="B5" s="14" t="n">
        <v>12</v>
      </c>
      <c r="C5" s="14" t="n">
        <v>1203</v>
      </c>
      <c r="D5" s="14" t="s">
        <v>510</v>
      </c>
      <c r="E5" s="14" t="n">
        <v>1450</v>
      </c>
      <c r="F5" s="15" t="s">
        <v>601</v>
      </c>
    </row>
    <row r="6" customFormat="false" ht="15" hidden="false" customHeight="false" outlineLevel="0" collapsed="false">
      <c r="A6" s="16"/>
      <c r="B6" s="16"/>
      <c r="C6" s="16"/>
      <c r="D6" s="16"/>
      <c r="E6" s="16"/>
    </row>
    <row r="7" customFormat="false" ht="15" hidden="false" customHeight="false" outlineLevel="0" collapsed="false">
      <c r="A7" s="16"/>
      <c r="B7" s="16"/>
      <c r="C7" s="16"/>
      <c r="D7" s="16"/>
      <c r="E7" s="16"/>
    </row>
    <row r="8" customFormat="false" ht="15" hidden="false" customHeight="false" outlineLevel="0" collapsed="false">
      <c r="A8" s="16"/>
      <c r="B8" s="16"/>
      <c r="C8" s="16"/>
      <c r="D8" s="16"/>
      <c r="E8" s="16"/>
    </row>
    <row r="9" customFormat="false" ht="15" hidden="false" customHeight="false" outlineLevel="0" collapsed="false">
      <c r="A9" s="16"/>
      <c r="B9" s="16"/>
      <c r="C9" s="16"/>
      <c r="D9" s="16"/>
      <c r="E9" s="16"/>
    </row>
    <row r="10" customFormat="false" ht="15" hidden="false" customHeight="false" outlineLevel="0" collapsed="false">
      <c r="A10" s="16"/>
      <c r="B10" s="16"/>
      <c r="C10" s="16"/>
      <c r="D10" s="16"/>
      <c r="E10" s="16"/>
    </row>
    <row r="11" customFormat="false" ht="15" hidden="false" customHeight="false" outlineLevel="0" collapsed="false">
      <c r="A11" s="16"/>
      <c r="B11" s="16"/>
      <c r="C11" s="16"/>
      <c r="D11" s="16"/>
      <c r="E11" s="16"/>
    </row>
    <row r="12" customFormat="false" ht="15" hidden="false" customHeight="false" outlineLevel="0" collapsed="false">
      <c r="A12" s="16"/>
      <c r="B12" s="16"/>
      <c r="C12" s="16"/>
      <c r="D12" s="16"/>
      <c r="E12" s="16"/>
    </row>
    <row r="13" customFormat="false" ht="15" hidden="false" customHeight="false" outlineLevel="0" collapsed="false">
      <c r="A13" s="16"/>
      <c r="B13" s="16"/>
      <c r="C13" s="16"/>
      <c r="D13" s="16"/>
      <c r="E13" s="16"/>
    </row>
    <row r="14" customFormat="false" ht="15" hidden="false" customHeight="false" outlineLevel="0" collapsed="false">
      <c r="A14" s="16"/>
      <c r="B14" s="16"/>
      <c r="C14" s="16"/>
      <c r="D14" s="16"/>
      <c r="E14" s="16"/>
    </row>
    <row r="15" customFormat="false" ht="15" hidden="false" customHeight="false" outlineLevel="0" collapsed="false">
      <c r="A15" s="16"/>
      <c r="B15" s="16"/>
      <c r="C15" s="16"/>
      <c r="D15" s="16"/>
      <c r="E15" s="16"/>
    </row>
    <row r="16" customFormat="false" ht="15" hidden="false" customHeight="false" outlineLevel="0" collapsed="false">
      <c r="A16" s="16"/>
      <c r="B16" s="16"/>
      <c r="C16" s="16"/>
      <c r="D16" s="16"/>
      <c r="E16" s="16"/>
    </row>
    <row r="17" customFormat="false" ht="15" hidden="false" customHeight="false" outlineLevel="0" collapsed="false">
      <c r="A17" s="16"/>
      <c r="B17" s="16"/>
      <c r="C17" s="16"/>
      <c r="D17" s="16"/>
      <c r="E17" s="16"/>
    </row>
    <row r="18" customFormat="false" ht="15" hidden="false" customHeight="false" outlineLevel="0" collapsed="false">
      <c r="A18" s="16"/>
      <c r="B18" s="16"/>
      <c r="C18" s="16"/>
      <c r="D18" s="16"/>
      <c r="E18" s="16"/>
    </row>
    <row r="19" customFormat="false" ht="15" hidden="false" customHeight="false" outlineLevel="0" collapsed="false">
      <c r="A19" s="16"/>
      <c r="B19" s="16"/>
      <c r="C19" s="16"/>
      <c r="D19" s="16"/>
      <c r="E19" s="16"/>
    </row>
    <row r="20" customFormat="false" ht="15" hidden="false" customHeight="false" outlineLevel="0" collapsed="false">
      <c r="A20" s="16"/>
      <c r="B20" s="16"/>
      <c r="C20" s="16"/>
      <c r="D20" s="16"/>
      <c r="E20" s="16"/>
    </row>
    <row r="21" customFormat="false" ht="15" hidden="false" customHeight="false" outlineLevel="0" collapsed="false">
      <c r="A21" s="16"/>
      <c r="B21" s="16"/>
      <c r="C21" s="16"/>
      <c r="D21" s="16"/>
      <c r="E21" s="16"/>
    </row>
    <row r="22" customFormat="false" ht="15" hidden="false" customHeight="false" outlineLevel="0" collapsed="false">
      <c r="A22" s="16"/>
      <c r="B22" s="16"/>
      <c r="C22" s="16"/>
      <c r="D22" s="16"/>
      <c r="E22" s="16"/>
    </row>
    <row r="23" customFormat="false" ht="15" hidden="false" customHeight="false" outlineLevel="0" collapsed="false">
      <c r="A23" s="16"/>
      <c r="B23" s="16"/>
      <c r="C23" s="16"/>
      <c r="D23" s="16"/>
      <c r="E23" s="16"/>
    </row>
    <row r="24" customFormat="false" ht="15" hidden="false" customHeight="false" outlineLevel="0" collapsed="false">
      <c r="A24" s="16"/>
      <c r="B24" s="16"/>
      <c r="C24" s="16"/>
      <c r="D24" s="16"/>
      <c r="E24" s="16"/>
    </row>
    <row r="25" customFormat="false" ht="15" hidden="false" customHeight="false" outlineLevel="0" collapsed="false">
      <c r="A25" s="16"/>
      <c r="B25" s="16"/>
      <c r="C25" s="16"/>
      <c r="D25" s="16"/>
      <c r="E25" s="16"/>
    </row>
    <row r="26" customFormat="false" ht="15" hidden="false" customHeight="false" outlineLevel="0" collapsed="false">
      <c r="A26" s="16"/>
      <c r="B26" s="16"/>
      <c r="C26" s="16"/>
      <c r="D26" s="16"/>
      <c r="E26" s="16"/>
    </row>
    <row r="27" customFormat="false" ht="15" hidden="false" customHeight="false" outlineLevel="0" collapsed="false">
      <c r="A27" s="16"/>
      <c r="B27" s="16"/>
      <c r="C27" s="16"/>
      <c r="D27" s="16"/>
      <c r="E27" s="16"/>
    </row>
    <row r="28" customFormat="false" ht="15" hidden="false" customHeight="false" outlineLevel="0" collapsed="false">
      <c r="A28" s="16"/>
      <c r="B28" s="16"/>
      <c r="C28" s="16"/>
      <c r="D28" s="16"/>
      <c r="E28" s="16"/>
    </row>
    <row r="29" customFormat="false" ht="15" hidden="false" customHeight="false" outlineLevel="0" collapsed="false">
      <c r="A29" s="16"/>
      <c r="B29" s="16"/>
      <c r="C29" s="16"/>
      <c r="D29" s="16"/>
      <c r="E29" s="16"/>
    </row>
    <row r="30" customFormat="false" ht="15" hidden="false" customHeight="false" outlineLevel="0" collapsed="false">
      <c r="A30" s="16"/>
      <c r="B30" s="16"/>
      <c r="C30" s="16"/>
      <c r="D30" s="16"/>
      <c r="E30" s="16"/>
    </row>
    <row r="31" customFormat="false" ht="15" hidden="false" customHeight="false" outlineLevel="0" collapsed="false">
      <c r="A31" s="16"/>
      <c r="B31" s="16"/>
      <c r="C31" s="16"/>
      <c r="D31" s="16"/>
      <c r="E31" s="16"/>
    </row>
    <row r="32" customFormat="false" ht="15" hidden="false" customHeight="false" outlineLevel="0" collapsed="false">
      <c r="A32" s="16"/>
      <c r="B32" s="16"/>
      <c r="C32" s="16"/>
      <c r="D32" s="16"/>
      <c r="E32" s="16"/>
    </row>
    <row r="33" customFormat="false" ht="15" hidden="false" customHeight="false" outlineLevel="0" collapsed="false">
      <c r="A33" s="16"/>
      <c r="B33" s="16"/>
      <c r="C33" s="16"/>
      <c r="D33" s="16"/>
      <c r="E33" s="16"/>
    </row>
    <row r="34" customFormat="false" ht="15" hidden="false" customHeight="false" outlineLevel="0" collapsed="false">
      <c r="A34" s="16"/>
      <c r="B34" s="16"/>
      <c r="C34" s="16"/>
      <c r="D34" s="16"/>
      <c r="E34" s="16"/>
    </row>
    <row r="35" customFormat="false" ht="15" hidden="false" customHeight="false" outlineLevel="0" collapsed="false">
      <c r="A35" s="16"/>
      <c r="B35" s="16"/>
      <c r="C35" s="16"/>
      <c r="D35" s="16"/>
      <c r="E35" s="16"/>
    </row>
    <row r="36" customFormat="false" ht="15" hidden="false" customHeight="false" outlineLevel="0" collapsed="false">
      <c r="A36" s="16"/>
      <c r="B36" s="16"/>
      <c r="C36" s="16"/>
      <c r="D36" s="16"/>
      <c r="E36" s="16"/>
    </row>
    <row r="37" customFormat="false" ht="15" hidden="false" customHeight="false" outlineLevel="0" collapsed="false">
      <c r="A37" s="16"/>
      <c r="B37" s="16"/>
      <c r="C37" s="16"/>
      <c r="D37" s="16"/>
      <c r="E37" s="16"/>
    </row>
    <row r="38" customFormat="false" ht="15" hidden="false" customHeight="false" outlineLevel="0" collapsed="false">
      <c r="A38" s="16"/>
      <c r="B38" s="16"/>
      <c r="C38" s="16"/>
      <c r="D38" s="16"/>
      <c r="E38" s="16"/>
    </row>
    <row r="39" customFormat="false" ht="15" hidden="false" customHeight="false" outlineLevel="0" collapsed="false">
      <c r="A39" s="16"/>
      <c r="B39" s="16"/>
      <c r="C39" s="16"/>
      <c r="D39" s="16"/>
      <c r="E39" s="16"/>
    </row>
    <row r="40" customFormat="false" ht="15" hidden="false" customHeight="false" outlineLevel="0" collapsed="false">
      <c r="A40" s="16"/>
      <c r="B40" s="16"/>
      <c r="C40" s="16"/>
      <c r="D40" s="16"/>
      <c r="E40" s="16"/>
    </row>
    <row r="41" customFormat="false" ht="15" hidden="false" customHeight="false" outlineLevel="0" collapsed="false">
      <c r="A41" s="16"/>
      <c r="B41" s="16"/>
      <c r="C41" s="16"/>
      <c r="D41" s="16"/>
      <c r="E41" s="16"/>
    </row>
    <row r="42" customFormat="false" ht="15" hidden="false" customHeight="false" outlineLevel="0" collapsed="false">
      <c r="A42" s="16"/>
      <c r="B42" s="16"/>
      <c r="C42" s="16"/>
      <c r="D42" s="16"/>
      <c r="E42" s="16"/>
    </row>
    <row r="43" customFormat="false" ht="15" hidden="false" customHeight="false" outlineLevel="0" collapsed="false">
      <c r="A43" s="16"/>
      <c r="B43" s="16"/>
      <c r="C43" s="16"/>
      <c r="D43" s="16"/>
      <c r="E43" s="16"/>
    </row>
    <row r="44" customFormat="false" ht="15" hidden="false" customHeight="false" outlineLevel="0" collapsed="false">
      <c r="A44" s="16"/>
      <c r="B44" s="16"/>
      <c r="C44" s="16"/>
      <c r="D44" s="16"/>
      <c r="E44" s="16"/>
    </row>
    <row r="45" customFormat="false" ht="15" hidden="false" customHeight="false" outlineLevel="0" collapsed="false">
      <c r="A45" s="16"/>
      <c r="B45" s="16"/>
      <c r="C45" s="16"/>
      <c r="D45" s="16"/>
      <c r="E45" s="16"/>
    </row>
    <row r="46" customFormat="false" ht="15" hidden="false" customHeight="false" outlineLevel="0" collapsed="false">
      <c r="A46" s="16"/>
      <c r="B46" s="16"/>
      <c r="C46" s="16"/>
      <c r="D46" s="16"/>
      <c r="E46" s="16"/>
    </row>
    <row r="47" customFormat="false" ht="15" hidden="false" customHeight="false" outlineLevel="0" collapsed="false">
      <c r="A47" s="16"/>
      <c r="B47" s="16"/>
      <c r="C47" s="16"/>
      <c r="D47" s="16"/>
      <c r="E47" s="16"/>
    </row>
    <row r="48" customFormat="false" ht="15" hidden="false" customHeight="false" outlineLevel="0" collapsed="false">
      <c r="A48" s="16"/>
      <c r="B48" s="16"/>
      <c r="C48" s="16"/>
      <c r="D48" s="16"/>
      <c r="E48" s="16"/>
    </row>
    <row r="49" customFormat="false" ht="15" hidden="false" customHeight="false" outlineLevel="0" collapsed="false">
      <c r="A49" s="16"/>
      <c r="B49" s="16"/>
      <c r="C49" s="16"/>
      <c r="D49" s="16"/>
      <c r="E49" s="16"/>
    </row>
    <row r="50" customFormat="false" ht="15" hidden="false" customHeight="false" outlineLevel="0" collapsed="false">
      <c r="A50" s="16"/>
      <c r="B50" s="16"/>
      <c r="C50" s="16"/>
      <c r="D50" s="16"/>
      <c r="E50" s="16"/>
    </row>
    <row r="51" customFormat="false" ht="15" hidden="false" customHeight="false" outlineLevel="0" collapsed="false">
      <c r="A51" s="16"/>
      <c r="B51" s="16"/>
      <c r="C51" s="16"/>
      <c r="D51" s="16"/>
      <c r="E51" s="16"/>
    </row>
    <row r="52" customFormat="false" ht="15" hidden="false" customHeight="false" outlineLevel="0" collapsed="false">
      <c r="A52" s="16"/>
      <c r="B52" s="16"/>
      <c r="C52" s="16"/>
      <c r="D52" s="16"/>
      <c r="E52" s="16"/>
    </row>
    <row r="53" customFormat="false" ht="15" hidden="false" customHeight="false" outlineLevel="0" collapsed="false">
      <c r="A53" s="16"/>
      <c r="B53" s="16"/>
      <c r="C53" s="16"/>
      <c r="D53" s="16"/>
      <c r="E53" s="16"/>
    </row>
    <row r="54" customFormat="false" ht="15" hidden="false" customHeight="false" outlineLevel="0" collapsed="false">
      <c r="A54" s="16"/>
      <c r="B54" s="16"/>
      <c r="C54" s="16"/>
      <c r="D54" s="16"/>
      <c r="E54" s="16"/>
    </row>
    <row r="55" customFormat="false" ht="15" hidden="false" customHeight="false" outlineLevel="0" collapsed="false">
      <c r="A55" s="16"/>
      <c r="B55" s="16"/>
      <c r="C55" s="16"/>
      <c r="D55" s="16"/>
      <c r="E55" s="16"/>
    </row>
    <row r="56" customFormat="false" ht="15" hidden="false" customHeight="false" outlineLevel="0" collapsed="false">
      <c r="A56" s="16"/>
      <c r="B56" s="16"/>
      <c r="C56" s="16"/>
      <c r="D56" s="16"/>
      <c r="E56" s="16"/>
    </row>
    <row r="57" customFormat="false" ht="15" hidden="false" customHeight="false" outlineLevel="0" collapsed="false">
      <c r="A57" s="16"/>
      <c r="B57" s="16"/>
      <c r="C57" s="16"/>
      <c r="D57" s="16"/>
      <c r="E57" s="16"/>
    </row>
    <row r="58" customFormat="false" ht="15" hidden="false" customHeight="false" outlineLevel="0" collapsed="false">
      <c r="A58" s="16"/>
      <c r="B58" s="16"/>
      <c r="C58" s="16"/>
      <c r="D58" s="16"/>
      <c r="E58" s="16"/>
    </row>
    <row r="59" customFormat="false" ht="15" hidden="false" customHeight="false" outlineLevel="0" collapsed="false">
      <c r="A59" s="16"/>
      <c r="B59" s="16"/>
      <c r="C59" s="16"/>
      <c r="D59" s="16"/>
      <c r="E59" s="16"/>
    </row>
    <row r="60" customFormat="false" ht="15" hidden="false" customHeight="false" outlineLevel="0" collapsed="false">
      <c r="A60" s="16"/>
      <c r="B60" s="16"/>
      <c r="C60" s="16"/>
      <c r="D60" s="16"/>
      <c r="E60" s="16"/>
    </row>
    <row r="61" customFormat="false" ht="15" hidden="false" customHeight="false" outlineLevel="0" collapsed="false">
      <c r="A61" s="16"/>
      <c r="B61" s="16"/>
      <c r="C61" s="16"/>
      <c r="D61" s="16"/>
      <c r="E61" s="16"/>
    </row>
    <row r="62" customFormat="false" ht="15" hidden="false" customHeight="false" outlineLevel="0" collapsed="false">
      <c r="A62" s="16"/>
      <c r="B62" s="16"/>
      <c r="C62" s="16"/>
      <c r="D62" s="16"/>
      <c r="E62" s="16"/>
    </row>
    <row r="63" customFormat="false" ht="15" hidden="false" customHeight="false" outlineLevel="0" collapsed="false">
      <c r="A63" s="16"/>
      <c r="B63" s="16"/>
      <c r="C63" s="16"/>
      <c r="D63" s="16"/>
      <c r="E63" s="16"/>
    </row>
    <row r="64" customFormat="false" ht="15" hidden="false" customHeight="false" outlineLevel="0" collapsed="false">
      <c r="A64" s="16"/>
      <c r="B64" s="16"/>
      <c r="C64" s="16"/>
      <c r="D64" s="16"/>
      <c r="E64" s="16"/>
    </row>
    <row r="65" customFormat="false" ht="15" hidden="false" customHeight="false" outlineLevel="0" collapsed="false">
      <c r="A65" s="16"/>
      <c r="B65" s="16"/>
      <c r="C65" s="16"/>
      <c r="D65" s="16"/>
      <c r="E65" s="16"/>
    </row>
    <row r="66" customFormat="false" ht="15" hidden="false" customHeight="false" outlineLevel="0" collapsed="false">
      <c r="A66" s="16"/>
      <c r="B66" s="16"/>
      <c r="C66" s="16"/>
      <c r="D66" s="16"/>
      <c r="E66" s="16"/>
    </row>
    <row r="67" customFormat="false" ht="15" hidden="false" customHeight="false" outlineLevel="0" collapsed="false">
      <c r="A67" s="16"/>
      <c r="B67" s="16"/>
      <c r="C67" s="16"/>
      <c r="D67" s="16"/>
      <c r="E67" s="16"/>
    </row>
    <row r="68" customFormat="false" ht="15" hidden="false" customHeight="false" outlineLevel="0" collapsed="false">
      <c r="A68" s="16"/>
      <c r="B68" s="16"/>
      <c r="C68" s="16"/>
      <c r="D68" s="16"/>
      <c r="E68" s="16"/>
    </row>
    <row r="69" customFormat="false" ht="15" hidden="false" customHeight="false" outlineLevel="0" collapsed="false">
      <c r="A69" s="16"/>
      <c r="B69" s="16"/>
      <c r="C69" s="16"/>
      <c r="D69" s="16"/>
      <c r="E69" s="16"/>
    </row>
    <row r="70" customFormat="false" ht="15" hidden="false" customHeight="false" outlineLevel="0" collapsed="false">
      <c r="A70" s="16"/>
      <c r="B70" s="16"/>
      <c r="C70" s="16"/>
      <c r="D70" s="16"/>
      <c r="E70" s="16"/>
    </row>
    <row r="71" customFormat="false" ht="15" hidden="false" customHeight="false" outlineLevel="0" collapsed="false">
      <c r="A71" s="16"/>
      <c r="B71" s="16"/>
      <c r="C71" s="16"/>
      <c r="D71" s="16"/>
      <c r="E71" s="16"/>
    </row>
    <row r="72" customFormat="false" ht="15" hidden="false" customHeight="false" outlineLevel="0" collapsed="false">
      <c r="A72" s="16"/>
      <c r="B72" s="16"/>
      <c r="C72" s="16"/>
      <c r="D72" s="16"/>
      <c r="E72" s="16"/>
    </row>
    <row r="73" customFormat="false" ht="15" hidden="false" customHeight="false" outlineLevel="0" collapsed="false">
      <c r="A73" s="16"/>
      <c r="B73" s="16"/>
      <c r="C73" s="16"/>
      <c r="D73" s="16"/>
      <c r="E73" s="16"/>
    </row>
    <row r="74" customFormat="false" ht="15" hidden="false" customHeight="false" outlineLevel="0" collapsed="false">
      <c r="A74" s="16"/>
      <c r="B74" s="16"/>
      <c r="C74" s="16"/>
      <c r="D74" s="16"/>
      <c r="E74" s="16"/>
    </row>
    <row r="75" customFormat="false" ht="15" hidden="false" customHeight="false" outlineLevel="0" collapsed="false">
      <c r="A75" s="16"/>
      <c r="B75" s="16"/>
      <c r="C75" s="16"/>
      <c r="D75" s="16"/>
      <c r="E75" s="16"/>
    </row>
    <row r="76" customFormat="false" ht="15" hidden="false" customHeight="false" outlineLevel="0" collapsed="false">
      <c r="A76" s="16"/>
      <c r="B76" s="16"/>
      <c r="C76" s="16"/>
      <c r="D76" s="16"/>
      <c r="E76" s="16"/>
    </row>
    <row r="77" customFormat="false" ht="15" hidden="false" customHeight="false" outlineLevel="0" collapsed="false">
      <c r="A77" s="16"/>
      <c r="B77" s="16"/>
      <c r="C77" s="16"/>
      <c r="D77" s="16"/>
      <c r="E77" s="16"/>
    </row>
    <row r="78" customFormat="false" ht="15" hidden="false" customHeight="false" outlineLevel="0" collapsed="false">
      <c r="A78" s="16"/>
      <c r="B78" s="16"/>
      <c r="C78" s="16"/>
      <c r="D78" s="16"/>
      <c r="E78" s="16"/>
    </row>
    <row r="79" customFormat="false" ht="15" hidden="false" customHeight="false" outlineLevel="0" collapsed="false">
      <c r="A79" s="16"/>
      <c r="B79" s="16"/>
      <c r="C79" s="16"/>
      <c r="D79" s="16"/>
      <c r="E79" s="16"/>
    </row>
    <row r="80" customFormat="false" ht="15" hidden="false" customHeight="false" outlineLevel="0" collapsed="false">
      <c r="A80" s="16"/>
      <c r="B80" s="16"/>
      <c r="C80" s="16"/>
      <c r="D80" s="16"/>
      <c r="E80" s="16"/>
    </row>
    <row r="81" customFormat="false" ht="15" hidden="false" customHeight="false" outlineLevel="0" collapsed="false">
      <c r="A81" s="16"/>
      <c r="B81" s="16"/>
      <c r="C81" s="16"/>
      <c r="D81" s="16"/>
      <c r="E81" s="16"/>
    </row>
    <row r="82" customFormat="false" ht="15" hidden="false" customHeight="false" outlineLevel="0" collapsed="false">
      <c r="A82" s="16"/>
      <c r="B82" s="16"/>
      <c r="C82" s="16"/>
      <c r="D82" s="16"/>
      <c r="E82" s="16"/>
    </row>
    <row r="83" customFormat="false" ht="15" hidden="false" customHeight="false" outlineLevel="0" collapsed="false">
      <c r="A83" s="16"/>
      <c r="B83" s="16"/>
      <c r="C83" s="16"/>
      <c r="D83" s="16"/>
      <c r="E83" s="16"/>
    </row>
    <row r="84" customFormat="false" ht="15" hidden="false" customHeight="false" outlineLevel="0" collapsed="false">
      <c r="A84" s="16"/>
      <c r="B84" s="16"/>
      <c r="C84" s="16"/>
      <c r="D84" s="16"/>
      <c r="E84" s="16"/>
    </row>
    <row r="85" customFormat="false" ht="15" hidden="false" customHeight="false" outlineLevel="0" collapsed="false">
      <c r="A85" s="16"/>
      <c r="B85" s="16"/>
      <c r="C85" s="16"/>
      <c r="D85" s="16"/>
      <c r="E85" s="16"/>
    </row>
    <row r="86" customFormat="false" ht="15" hidden="false" customHeight="false" outlineLevel="0" collapsed="false">
      <c r="A86" s="16"/>
      <c r="B86" s="16"/>
      <c r="C86" s="16"/>
      <c r="D86" s="16"/>
      <c r="E86" s="16"/>
    </row>
    <row r="87" customFormat="false" ht="15" hidden="false" customHeight="false" outlineLevel="0" collapsed="false">
      <c r="A87" s="16"/>
      <c r="B87" s="16"/>
      <c r="C87" s="16"/>
      <c r="D87" s="16"/>
      <c r="E87" s="16"/>
    </row>
    <row r="88" customFormat="false" ht="15" hidden="false" customHeight="false" outlineLevel="0" collapsed="false">
      <c r="A88" s="16"/>
      <c r="B88" s="16"/>
      <c r="C88" s="16"/>
      <c r="D88" s="16"/>
      <c r="E88" s="16"/>
    </row>
    <row r="89" customFormat="false" ht="15" hidden="false" customHeight="false" outlineLevel="0" collapsed="false">
      <c r="A89" s="16"/>
      <c r="B89" s="16"/>
      <c r="C89" s="16"/>
      <c r="D89" s="16"/>
      <c r="E89" s="16"/>
    </row>
    <row r="90" customFormat="false" ht="15" hidden="false" customHeight="false" outlineLevel="0" collapsed="false">
      <c r="A90" s="16"/>
      <c r="B90" s="16"/>
      <c r="C90" s="16"/>
      <c r="D90" s="16"/>
      <c r="E90" s="16"/>
    </row>
    <row r="91" customFormat="false" ht="15" hidden="false" customHeight="false" outlineLevel="0" collapsed="false">
      <c r="A91" s="16"/>
      <c r="B91" s="16"/>
      <c r="C91" s="16"/>
      <c r="D91" s="16"/>
      <c r="E91" s="16"/>
    </row>
    <row r="92" customFormat="false" ht="15" hidden="false" customHeight="false" outlineLevel="0" collapsed="false">
      <c r="A92" s="16"/>
      <c r="B92" s="16"/>
      <c r="C92" s="16"/>
      <c r="D92" s="16"/>
      <c r="E92" s="16"/>
    </row>
    <row r="93" customFormat="false" ht="15" hidden="false" customHeight="false" outlineLevel="0" collapsed="false">
      <c r="A93" s="16"/>
      <c r="B93" s="16"/>
      <c r="C93" s="16"/>
      <c r="D93" s="16"/>
      <c r="E93" s="16"/>
    </row>
    <row r="94" customFormat="false" ht="15" hidden="false" customHeight="false" outlineLevel="0" collapsed="false">
      <c r="A94" s="16"/>
      <c r="B94" s="16"/>
      <c r="C94" s="16"/>
      <c r="D94" s="16"/>
      <c r="E94" s="16"/>
    </row>
    <row r="95" customFormat="false" ht="15" hidden="false" customHeight="false" outlineLevel="0" collapsed="false">
      <c r="A95" s="16"/>
      <c r="B95" s="16"/>
      <c r="C95" s="16"/>
      <c r="D95" s="16"/>
      <c r="E95" s="16"/>
    </row>
    <row r="96" customFormat="false" ht="15" hidden="false" customHeight="false" outlineLevel="0" collapsed="false">
      <c r="A96" s="16"/>
      <c r="B96" s="16"/>
      <c r="C96" s="16"/>
      <c r="D96" s="16"/>
      <c r="E96" s="16"/>
    </row>
    <row r="97" customFormat="false" ht="15" hidden="false" customHeight="false" outlineLevel="0" collapsed="false">
      <c r="A97" s="16"/>
      <c r="B97" s="16"/>
      <c r="C97" s="16"/>
      <c r="D97" s="16"/>
      <c r="E97" s="16"/>
    </row>
    <row r="98" customFormat="false" ht="15" hidden="false" customHeight="false" outlineLevel="0" collapsed="false">
      <c r="A98" s="16"/>
      <c r="B98" s="16"/>
      <c r="C98" s="16"/>
      <c r="D98" s="16"/>
      <c r="E98" s="16"/>
    </row>
    <row r="99" customFormat="false" ht="15" hidden="false" customHeight="false" outlineLevel="0" collapsed="false">
      <c r="A99" s="16"/>
      <c r="B99" s="16"/>
      <c r="C99" s="16"/>
      <c r="D99" s="16"/>
      <c r="E99" s="16"/>
    </row>
    <row r="100" customFormat="false" ht="15" hidden="false" customHeight="false" outlineLevel="0" collapsed="false">
      <c r="A100" s="16"/>
      <c r="B100" s="16"/>
      <c r="C100" s="16"/>
      <c r="D100" s="16"/>
      <c r="E100" s="16"/>
    </row>
    <row r="101" customFormat="false" ht="15" hidden="false" customHeight="false" outlineLevel="0" collapsed="false">
      <c r="A101" s="16"/>
      <c r="B101" s="16"/>
      <c r="C101" s="16"/>
      <c r="D101" s="16"/>
      <c r="E101" s="16"/>
    </row>
    <row r="102" customFormat="false" ht="15" hidden="false" customHeight="false" outlineLevel="0" collapsed="false">
      <c r="A102" s="16"/>
      <c r="B102" s="16"/>
      <c r="C102" s="16"/>
      <c r="D102" s="16"/>
      <c r="E102" s="16"/>
    </row>
    <row r="103" customFormat="false" ht="15" hidden="false" customHeight="false" outlineLevel="0" collapsed="false">
      <c r="A103" s="16"/>
      <c r="B103" s="16"/>
      <c r="C103" s="16"/>
      <c r="D103" s="16"/>
      <c r="E103" s="16"/>
    </row>
    <row r="104" customFormat="false" ht="15" hidden="false" customHeight="false" outlineLevel="0" collapsed="false">
      <c r="A104" s="16"/>
      <c r="B104" s="16"/>
      <c r="C104" s="16"/>
      <c r="D104" s="16"/>
      <c r="E104" s="16"/>
    </row>
    <row r="105" customFormat="false" ht="15" hidden="false" customHeight="false" outlineLevel="0" collapsed="false">
      <c r="A105" s="16"/>
      <c r="B105" s="16"/>
      <c r="C105" s="16"/>
      <c r="D105" s="16"/>
      <c r="E105" s="16"/>
    </row>
    <row r="106" customFormat="false" ht="15" hidden="false" customHeight="false" outlineLevel="0" collapsed="false">
      <c r="A106" s="16"/>
      <c r="B106" s="16"/>
      <c r="C106" s="16"/>
      <c r="D106" s="16"/>
      <c r="E106" s="16"/>
    </row>
    <row r="107" customFormat="false" ht="15" hidden="false" customHeight="false" outlineLevel="0" collapsed="false">
      <c r="A107" s="16"/>
      <c r="B107" s="16"/>
      <c r="C107" s="16"/>
      <c r="D107" s="16"/>
      <c r="E107" s="16"/>
    </row>
    <row r="108" customFormat="false" ht="15" hidden="false" customHeight="false" outlineLevel="0" collapsed="false">
      <c r="A108" s="16"/>
      <c r="B108" s="16"/>
      <c r="C108" s="16"/>
      <c r="D108" s="16"/>
      <c r="E108" s="16"/>
    </row>
    <row r="109" customFormat="false" ht="15" hidden="false" customHeight="false" outlineLevel="0" collapsed="false">
      <c r="A109" s="16"/>
      <c r="B109" s="16"/>
      <c r="C109" s="16"/>
      <c r="D109" s="16"/>
      <c r="E109" s="16"/>
    </row>
    <row r="110" customFormat="false" ht="15" hidden="false" customHeight="false" outlineLevel="0" collapsed="false">
      <c r="A110" s="16"/>
      <c r="B110" s="16"/>
      <c r="C110" s="16"/>
      <c r="D110" s="16"/>
      <c r="E110" s="16"/>
    </row>
    <row r="111" customFormat="false" ht="15" hidden="false" customHeight="false" outlineLevel="0" collapsed="false">
      <c r="A111" s="16"/>
      <c r="B111" s="16"/>
      <c r="C111" s="16"/>
      <c r="D111" s="16"/>
      <c r="E111" s="16"/>
    </row>
    <row r="112" customFormat="false" ht="15" hidden="false" customHeight="false" outlineLevel="0" collapsed="false">
      <c r="A112" s="16"/>
      <c r="B112" s="16"/>
      <c r="C112" s="16"/>
      <c r="D112" s="16"/>
      <c r="E112" s="16"/>
    </row>
    <row r="113" customFormat="false" ht="15" hidden="false" customHeight="false" outlineLevel="0" collapsed="false">
      <c r="A113" s="16"/>
      <c r="B113" s="16"/>
      <c r="C113" s="16"/>
      <c r="D113" s="16"/>
      <c r="E113" s="16"/>
    </row>
    <row r="114" customFormat="false" ht="15" hidden="false" customHeight="false" outlineLevel="0" collapsed="false">
      <c r="A114" s="16"/>
      <c r="B114" s="16"/>
      <c r="C114" s="16"/>
      <c r="D114" s="16"/>
      <c r="E114" s="16"/>
    </row>
    <row r="115" customFormat="false" ht="15" hidden="false" customHeight="false" outlineLevel="0" collapsed="false">
      <c r="A115" s="16"/>
      <c r="B115" s="16"/>
      <c r="C115" s="16"/>
      <c r="D115" s="16"/>
      <c r="E115" s="16"/>
    </row>
    <row r="116" customFormat="false" ht="15" hidden="false" customHeight="false" outlineLevel="0" collapsed="false">
      <c r="A116" s="16"/>
      <c r="B116" s="16"/>
      <c r="C116" s="16"/>
      <c r="D116" s="16"/>
      <c r="E116" s="16"/>
    </row>
    <row r="117" customFormat="false" ht="15" hidden="false" customHeight="false" outlineLevel="0" collapsed="false">
      <c r="A117" s="16"/>
      <c r="B117" s="16"/>
      <c r="C117" s="16"/>
      <c r="D117" s="16"/>
      <c r="E117" s="16"/>
    </row>
    <row r="118" customFormat="false" ht="15" hidden="false" customHeight="false" outlineLevel="0" collapsed="false">
      <c r="A118" s="16"/>
      <c r="B118" s="16"/>
      <c r="C118" s="16"/>
      <c r="D118" s="16"/>
      <c r="E118" s="16"/>
    </row>
    <row r="119" customFormat="false" ht="15" hidden="false" customHeight="false" outlineLevel="0" collapsed="false">
      <c r="A119" s="16"/>
      <c r="B119" s="16"/>
      <c r="C119" s="16"/>
      <c r="D119" s="16"/>
      <c r="E119" s="16"/>
    </row>
    <row r="120" customFormat="false" ht="15" hidden="false" customHeight="false" outlineLevel="0" collapsed="false">
      <c r="A120" s="16"/>
      <c r="B120" s="16"/>
      <c r="C120" s="16"/>
      <c r="D120" s="16"/>
      <c r="E120" s="16"/>
    </row>
    <row r="121" customFormat="false" ht="15" hidden="false" customHeight="false" outlineLevel="0" collapsed="false">
      <c r="A121" s="16"/>
      <c r="B121" s="16"/>
      <c r="C121" s="16"/>
      <c r="D121" s="16"/>
      <c r="E121" s="16"/>
    </row>
    <row r="122" customFormat="false" ht="15" hidden="false" customHeight="false" outlineLevel="0" collapsed="false">
      <c r="A122" s="16"/>
      <c r="B122" s="16"/>
      <c r="C122" s="16"/>
      <c r="D122" s="16"/>
      <c r="E122" s="16"/>
    </row>
    <row r="123" customFormat="false" ht="15" hidden="false" customHeight="false" outlineLevel="0" collapsed="false">
      <c r="A123" s="16"/>
      <c r="B123" s="16"/>
      <c r="C123" s="16"/>
      <c r="D123" s="16"/>
      <c r="E123" s="16"/>
    </row>
    <row r="124" customFormat="false" ht="15" hidden="false" customHeight="false" outlineLevel="0" collapsed="false">
      <c r="A124" s="16"/>
      <c r="B124" s="16"/>
      <c r="C124" s="16"/>
      <c r="D124" s="16"/>
      <c r="E124" s="16"/>
    </row>
    <row r="125" customFormat="false" ht="15" hidden="false" customHeight="false" outlineLevel="0" collapsed="false">
      <c r="A125" s="16"/>
      <c r="B125" s="16"/>
      <c r="C125" s="16"/>
      <c r="D125" s="16"/>
      <c r="E125" s="16"/>
    </row>
    <row r="126" customFormat="false" ht="15" hidden="false" customHeight="false" outlineLevel="0" collapsed="false">
      <c r="A126" s="16"/>
      <c r="B126" s="16"/>
      <c r="C126" s="16"/>
      <c r="D126" s="16"/>
      <c r="E126" s="16"/>
    </row>
    <row r="127" customFormat="false" ht="15" hidden="false" customHeight="false" outlineLevel="0" collapsed="false">
      <c r="A127" s="16"/>
      <c r="B127" s="16"/>
      <c r="C127" s="16"/>
      <c r="D127" s="16"/>
      <c r="E127" s="16"/>
    </row>
    <row r="128" customFormat="false" ht="15" hidden="false" customHeight="false" outlineLevel="0" collapsed="false">
      <c r="A128" s="16"/>
      <c r="B128" s="16"/>
      <c r="C128" s="16"/>
      <c r="D128" s="16"/>
      <c r="E128" s="16"/>
    </row>
    <row r="129" customFormat="false" ht="15" hidden="false" customHeight="false" outlineLevel="0" collapsed="false">
      <c r="A129" s="16"/>
      <c r="B129" s="16"/>
      <c r="C129" s="16"/>
      <c r="D129" s="16"/>
      <c r="E129" s="16"/>
    </row>
    <row r="130" customFormat="false" ht="15" hidden="false" customHeight="false" outlineLevel="0" collapsed="false">
      <c r="A130" s="16"/>
      <c r="B130" s="16"/>
      <c r="C130" s="16"/>
      <c r="D130" s="16"/>
      <c r="E130" s="16"/>
    </row>
    <row r="131" customFormat="false" ht="15" hidden="false" customHeight="false" outlineLevel="0" collapsed="false">
      <c r="A131" s="16"/>
      <c r="B131" s="16"/>
      <c r="C131" s="16"/>
      <c r="D131" s="16"/>
      <c r="E131" s="16"/>
    </row>
    <row r="132" customFormat="false" ht="15" hidden="false" customHeight="false" outlineLevel="0" collapsed="false">
      <c r="A132" s="16"/>
      <c r="B132" s="16"/>
      <c r="C132" s="16"/>
      <c r="D132" s="16"/>
      <c r="E132" s="16"/>
    </row>
    <row r="133" customFormat="false" ht="15" hidden="false" customHeight="false" outlineLevel="0" collapsed="false">
      <c r="A133" s="16"/>
      <c r="B133" s="16"/>
      <c r="C133" s="16"/>
      <c r="D133" s="16"/>
      <c r="E133" s="16"/>
    </row>
    <row r="134" customFormat="false" ht="15" hidden="false" customHeight="false" outlineLevel="0" collapsed="false">
      <c r="A134" s="16"/>
      <c r="B134" s="16"/>
      <c r="C134" s="16"/>
      <c r="D134" s="16"/>
      <c r="E134" s="16"/>
    </row>
    <row r="135" customFormat="false" ht="15" hidden="false" customHeight="false" outlineLevel="0" collapsed="false">
      <c r="A135" s="16"/>
      <c r="B135" s="16"/>
      <c r="C135" s="16"/>
      <c r="D135" s="16"/>
      <c r="E135" s="16"/>
    </row>
    <row r="136" customFormat="false" ht="15" hidden="false" customHeight="false" outlineLevel="0" collapsed="false">
      <c r="A136" s="16"/>
      <c r="B136" s="16"/>
      <c r="C136" s="16"/>
      <c r="D136" s="16"/>
      <c r="E136" s="16"/>
    </row>
    <row r="137" customFormat="false" ht="15" hidden="false" customHeight="false" outlineLevel="0" collapsed="false">
      <c r="A137" s="16"/>
      <c r="B137" s="16"/>
      <c r="C137" s="16"/>
      <c r="D137" s="16"/>
      <c r="E137" s="16"/>
    </row>
    <row r="138" customFormat="false" ht="15" hidden="false" customHeight="false" outlineLevel="0" collapsed="false">
      <c r="A138" s="16"/>
      <c r="B138" s="16"/>
      <c r="C138" s="16"/>
      <c r="D138" s="16"/>
      <c r="E138" s="16"/>
    </row>
    <row r="139" customFormat="false" ht="15" hidden="false" customHeight="false" outlineLevel="0" collapsed="false">
      <c r="A139" s="16"/>
      <c r="B139" s="16"/>
      <c r="C139" s="16"/>
      <c r="D139" s="16"/>
      <c r="E139" s="16"/>
    </row>
    <row r="140" customFormat="false" ht="15" hidden="false" customHeight="false" outlineLevel="0" collapsed="false">
      <c r="A140" s="16"/>
      <c r="B140" s="16"/>
      <c r="C140" s="16"/>
      <c r="D140" s="16"/>
      <c r="E140" s="16"/>
    </row>
    <row r="141" customFormat="false" ht="15" hidden="false" customHeight="false" outlineLevel="0" collapsed="false">
      <c r="A141" s="16"/>
      <c r="B141" s="16"/>
      <c r="C141" s="16"/>
      <c r="D141" s="16"/>
      <c r="E141" s="16"/>
    </row>
    <row r="142" customFormat="false" ht="15" hidden="false" customHeight="false" outlineLevel="0" collapsed="false">
      <c r="A142" s="16"/>
      <c r="B142" s="16"/>
      <c r="C142" s="16"/>
      <c r="D142" s="16"/>
      <c r="E142" s="16"/>
    </row>
    <row r="143" customFormat="false" ht="15" hidden="false" customHeight="false" outlineLevel="0" collapsed="false">
      <c r="A143" s="16"/>
      <c r="B143" s="16"/>
      <c r="C143" s="16"/>
      <c r="D143" s="16"/>
      <c r="E143" s="16"/>
    </row>
    <row r="144" customFormat="false" ht="15" hidden="false" customHeight="false" outlineLevel="0" collapsed="false">
      <c r="A144" s="16"/>
      <c r="B144" s="16"/>
      <c r="C144" s="16"/>
      <c r="D144" s="16"/>
      <c r="E144" s="16"/>
    </row>
    <row r="145" customFormat="false" ht="15" hidden="false" customHeight="false" outlineLevel="0" collapsed="false">
      <c r="A145" s="16"/>
      <c r="B145" s="16"/>
      <c r="C145" s="16"/>
      <c r="D145" s="16"/>
      <c r="E145" s="16"/>
    </row>
    <row r="146" customFormat="false" ht="15" hidden="false" customHeight="false" outlineLevel="0" collapsed="false">
      <c r="A146" s="16"/>
      <c r="B146" s="16"/>
      <c r="C146" s="16"/>
      <c r="D146" s="16"/>
      <c r="E146" s="16"/>
    </row>
    <row r="147" customFormat="false" ht="15" hidden="false" customHeight="false" outlineLevel="0" collapsed="false">
      <c r="A147" s="16"/>
      <c r="B147" s="16"/>
      <c r="C147" s="16"/>
      <c r="D147" s="16"/>
      <c r="E147" s="16"/>
    </row>
    <row r="148" customFormat="false" ht="15" hidden="false" customHeight="false" outlineLevel="0" collapsed="false">
      <c r="A148" s="16"/>
      <c r="B148" s="16"/>
      <c r="C148" s="16"/>
      <c r="D148" s="16"/>
      <c r="E148" s="16"/>
    </row>
    <row r="149" customFormat="false" ht="15" hidden="false" customHeight="false" outlineLevel="0" collapsed="false">
      <c r="A149" s="16"/>
      <c r="B149" s="16"/>
      <c r="C149" s="16"/>
      <c r="D149" s="16"/>
      <c r="E149" s="16"/>
    </row>
    <row r="150" customFormat="false" ht="15" hidden="false" customHeight="false" outlineLevel="0" collapsed="false">
      <c r="A150" s="16"/>
      <c r="B150" s="16"/>
      <c r="C150" s="16"/>
      <c r="D150" s="16"/>
      <c r="E150" s="16"/>
    </row>
    <row r="151" customFormat="false" ht="15" hidden="false" customHeight="false" outlineLevel="0" collapsed="false">
      <c r="A151" s="16"/>
      <c r="B151" s="16"/>
      <c r="C151" s="16"/>
      <c r="D151" s="16"/>
      <c r="E151" s="16"/>
    </row>
    <row r="152" customFormat="false" ht="15" hidden="false" customHeight="false" outlineLevel="0" collapsed="false">
      <c r="A152" s="16"/>
      <c r="B152" s="16"/>
      <c r="C152" s="16"/>
      <c r="D152" s="16"/>
      <c r="E152" s="16"/>
    </row>
    <row r="153" customFormat="false" ht="15" hidden="false" customHeight="false" outlineLevel="0" collapsed="false">
      <c r="A153" s="16"/>
      <c r="B153" s="16"/>
      <c r="C153" s="16"/>
      <c r="D153" s="16"/>
      <c r="E153" s="16"/>
    </row>
    <row r="154" customFormat="false" ht="15" hidden="false" customHeight="false" outlineLevel="0" collapsed="false">
      <c r="A154" s="16"/>
      <c r="B154" s="16"/>
      <c r="C154" s="16"/>
      <c r="D154" s="16"/>
      <c r="E154" s="16"/>
    </row>
    <row r="155" customFormat="false" ht="15" hidden="false" customHeight="false" outlineLevel="0" collapsed="false">
      <c r="A155" s="16"/>
      <c r="B155" s="16"/>
      <c r="C155" s="16"/>
      <c r="D155" s="16"/>
      <c r="E155" s="16"/>
    </row>
    <row r="156" customFormat="false" ht="15" hidden="false" customHeight="false" outlineLevel="0" collapsed="false">
      <c r="A156" s="16"/>
      <c r="B156" s="16"/>
      <c r="C156" s="16"/>
      <c r="D156" s="16"/>
      <c r="E156" s="16"/>
    </row>
    <row r="157" customFormat="false" ht="15" hidden="false" customHeight="false" outlineLevel="0" collapsed="false">
      <c r="A157" s="16"/>
      <c r="B157" s="16"/>
      <c r="C157" s="16"/>
      <c r="D157" s="16"/>
      <c r="E157" s="16"/>
    </row>
    <row r="158" customFormat="false" ht="15" hidden="false" customHeight="false" outlineLevel="0" collapsed="false">
      <c r="A158" s="16"/>
      <c r="B158" s="16"/>
      <c r="C158" s="16"/>
      <c r="D158" s="16"/>
      <c r="E158" s="16"/>
    </row>
    <row r="159" customFormat="false" ht="15" hidden="false" customHeight="false" outlineLevel="0" collapsed="false">
      <c r="A159" s="16"/>
      <c r="B159" s="16"/>
      <c r="C159" s="16"/>
      <c r="D159" s="16"/>
      <c r="E159" s="16"/>
    </row>
    <row r="160" customFormat="false" ht="15" hidden="false" customHeight="false" outlineLevel="0" collapsed="false">
      <c r="A160" s="16"/>
      <c r="B160" s="16"/>
      <c r="C160" s="16"/>
      <c r="D160" s="16"/>
      <c r="E160" s="16"/>
    </row>
    <row r="161" customFormat="false" ht="15" hidden="false" customHeight="false" outlineLevel="0" collapsed="false">
      <c r="A161" s="16"/>
      <c r="B161" s="16"/>
      <c r="C161" s="16"/>
      <c r="D161" s="16"/>
      <c r="E161" s="16"/>
    </row>
    <row r="162" customFormat="false" ht="15" hidden="false" customHeight="false" outlineLevel="0" collapsed="false">
      <c r="A162" s="16"/>
      <c r="B162" s="16"/>
      <c r="C162" s="16"/>
      <c r="D162" s="16"/>
      <c r="E162" s="16"/>
    </row>
    <row r="163" customFormat="false" ht="15" hidden="false" customHeight="false" outlineLevel="0" collapsed="false">
      <c r="A163" s="16"/>
      <c r="B163" s="16"/>
      <c r="C163" s="16"/>
      <c r="D163" s="16"/>
      <c r="E163" s="16"/>
    </row>
    <row r="164" customFormat="false" ht="15" hidden="false" customHeight="false" outlineLevel="0" collapsed="false">
      <c r="A164" s="16"/>
      <c r="B164" s="16"/>
      <c r="C164" s="16"/>
      <c r="D164" s="16"/>
      <c r="E164" s="16"/>
    </row>
    <row r="165" customFormat="false" ht="15" hidden="false" customHeight="false" outlineLevel="0" collapsed="false">
      <c r="A165" s="16"/>
      <c r="B165" s="16"/>
      <c r="C165" s="16"/>
      <c r="D165" s="16"/>
      <c r="E165" s="16"/>
    </row>
    <row r="166" customFormat="false" ht="15" hidden="false" customHeight="false" outlineLevel="0" collapsed="false">
      <c r="A166" s="16"/>
      <c r="B166" s="16"/>
      <c r="C166" s="16"/>
      <c r="D166" s="16"/>
      <c r="E166" s="16"/>
    </row>
    <row r="167" customFormat="false" ht="15" hidden="false" customHeight="false" outlineLevel="0" collapsed="false">
      <c r="A167" s="16"/>
      <c r="B167" s="16"/>
      <c r="C167" s="16"/>
      <c r="D167" s="16"/>
      <c r="E167" s="16"/>
    </row>
    <row r="168" customFormat="false" ht="15" hidden="false" customHeight="false" outlineLevel="0" collapsed="false">
      <c r="A168" s="16"/>
      <c r="B168" s="16"/>
      <c r="C168" s="16"/>
      <c r="D168" s="16"/>
      <c r="E168" s="16"/>
    </row>
    <row r="169" customFormat="false" ht="15" hidden="false" customHeight="false" outlineLevel="0" collapsed="false">
      <c r="A169" s="16"/>
      <c r="B169" s="16"/>
      <c r="C169" s="16"/>
      <c r="D169" s="16"/>
      <c r="E169" s="16"/>
    </row>
    <row r="170" customFormat="false" ht="15" hidden="false" customHeight="false" outlineLevel="0" collapsed="false">
      <c r="A170" s="16"/>
      <c r="B170" s="16"/>
      <c r="C170" s="16"/>
      <c r="D170" s="16"/>
      <c r="E170" s="16"/>
    </row>
    <row r="171" customFormat="false" ht="15" hidden="false" customHeight="false" outlineLevel="0" collapsed="false">
      <c r="A171" s="16"/>
      <c r="B171" s="16"/>
      <c r="C171" s="16"/>
      <c r="D171" s="16"/>
      <c r="E171" s="16"/>
    </row>
    <row r="172" customFormat="false" ht="15" hidden="false" customHeight="false" outlineLevel="0" collapsed="false">
      <c r="A172" s="16"/>
      <c r="B172" s="16"/>
      <c r="C172" s="16"/>
      <c r="D172" s="16"/>
      <c r="E172" s="16"/>
    </row>
    <row r="173" customFormat="false" ht="15" hidden="false" customHeight="false" outlineLevel="0" collapsed="false">
      <c r="A173" s="16"/>
      <c r="B173" s="16"/>
      <c r="C173" s="16"/>
      <c r="D173" s="16"/>
      <c r="E173" s="16"/>
    </row>
    <row r="174" customFormat="false" ht="15" hidden="false" customHeight="false" outlineLevel="0" collapsed="false">
      <c r="A174" s="16"/>
      <c r="B174" s="16"/>
      <c r="C174" s="16"/>
      <c r="D174" s="16"/>
      <c r="E174" s="16"/>
    </row>
    <row r="175" customFormat="false" ht="15" hidden="false" customHeight="false" outlineLevel="0" collapsed="false">
      <c r="A175" s="16"/>
      <c r="B175" s="16"/>
      <c r="C175" s="16"/>
      <c r="D175" s="16"/>
      <c r="E175" s="16"/>
    </row>
    <row r="176" customFormat="false" ht="15" hidden="false" customHeight="false" outlineLevel="0" collapsed="false">
      <c r="A176" s="16"/>
      <c r="B176" s="16"/>
      <c r="C176" s="16"/>
      <c r="D176" s="16"/>
      <c r="E176" s="16"/>
    </row>
    <row r="177" customFormat="false" ht="15" hidden="false" customHeight="false" outlineLevel="0" collapsed="false">
      <c r="A177" s="16"/>
      <c r="B177" s="16"/>
      <c r="C177" s="16"/>
      <c r="D177" s="16"/>
      <c r="E177" s="16"/>
    </row>
    <row r="178" customFormat="false" ht="15" hidden="false" customHeight="false" outlineLevel="0" collapsed="false">
      <c r="A178" s="16"/>
      <c r="B178" s="16"/>
      <c r="C178" s="16"/>
      <c r="D178" s="16"/>
      <c r="E178" s="16"/>
    </row>
    <row r="179" customFormat="false" ht="15" hidden="false" customHeight="false" outlineLevel="0" collapsed="false">
      <c r="A179" s="16"/>
      <c r="B179" s="16"/>
      <c r="C179" s="16"/>
      <c r="D179" s="16"/>
      <c r="E179" s="16"/>
    </row>
    <row r="180" customFormat="false" ht="15" hidden="false" customHeight="false" outlineLevel="0" collapsed="false">
      <c r="A180" s="16"/>
      <c r="B180" s="16"/>
      <c r="C180" s="16"/>
      <c r="D180" s="16"/>
      <c r="E180" s="16"/>
    </row>
    <row r="181" customFormat="false" ht="15" hidden="false" customHeight="false" outlineLevel="0" collapsed="false">
      <c r="A181" s="16"/>
      <c r="B181" s="16"/>
      <c r="C181" s="16"/>
      <c r="D181" s="16"/>
      <c r="E181" s="16"/>
    </row>
    <row r="182" customFormat="false" ht="15" hidden="false" customHeight="false" outlineLevel="0" collapsed="false">
      <c r="A182" s="16"/>
      <c r="B182" s="16"/>
      <c r="C182" s="16"/>
      <c r="D182" s="16"/>
      <c r="E182" s="16"/>
    </row>
    <row r="183" customFormat="false" ht="15" hidden="false" customHeight="false" outlineLevel="0" collapsed="false">
      <c r="A183" s="16"/>
      <c r="B183" s="16"/>
      <c r="C183" s="16"/>
      <c r="D183" s="16"/>
      <c r="E183" s="16"/>
    </row>
    <row r="184" customFormat="false" ht="15" hidden="false" customHeight="false" outlineLevel="0" collapsed="false">
      <c r="A184" s="16"/>
      <c r="B184" s="16"/>
      <c r="C184" s="16"/>
      <c r="D184" s="16"/>
      <c r="E184" s="16"/>
    </row>
    <row r="185" customFormat="false" ht="15" hidden="false" customHeight="false" outlineLevel="0" collapsed="false">
      <c r="A185" s="16"/>
      <c r="B185" s="16"/>
      <c r="C185" s="16"/>
      <c r="D185" s="16"/>
      <c r="E185" s="16"/>
    </row>
    <row r="186" customFormat="false" ht="15" hidden="false" customHeight="false" outlineLevel="0" collapsed="false">
      <c r="A186" s="16"/>
      <c r="B186" s="16"/>
      <c r="C186" s="16"/>
      <c r="D186" s="16"/>
      <c r="E186" s="16"/>
    </row>
    <row r="187" customFormat="false" ht="15" hidden="false" customHeight="false" outlineLevel="0" collapsed="false">
      <c r="A187" s="16"/>
      <c r="B187" s="16"/>
      <c r="C187" s="16"/>
      <c r="D187" s="16"/>
      <c r="E187" s="16"/>
    </row>
    <row r="188" customFormat="false" ht="15" hidden="false" customHeight="false" outlineLevel="0" collapsed="false">
      <c r="A188" s="16"/>
      <c r="B188" s="16"/>
      <c r="C188" s="16"/>
      <c r="D188" s="16"/>
      <c r="E188" s="16"/>
    </row>
    <row r="189" customFormat="false" ht="15" hidden="false" customHeight="false" outlineLevel="0" collapsed="false">
      <c r="A189" s="16"/>
      <c r="B189" s="16"/>
      <c r="C189" s="16"/>
      <c r="D189" s="16"/>
      <c r="E189" s="16"/>
    </row>
    <row r="190" customFormat="false" ht="15" hidden="false" customHeight="false" outlineLevel="0" collapsed="false">
      <c r="A190" s="16"/>
      <c r="B190" s="16"/>
      <c r="C190" s="16"/>
      <c r="D190" s="16"/>
      <c r="E190" s="16"/>
    </row>
    <row r="191" customFormat="false" ht="15" hidden="false" customHeight="false" outlineLevel="0" collapsed="false">
      <c r="A191" s="16"/>
      <c r="B191" s="16"/>
      <c r="C191" s="16"/>
      <c r="D191" s="16"/>
      <c r="E191" s="16"/>
    </row>
    <row r="192" customFormat="false" ht="15" hidden="false" customHeight="false" outlineLevel="0" collapsed="false">
      <c r="A192" s="16"/>
      <c r="B192" s="16"/>
      <c r="C192" s="16"/>
      <c r="D192" s="16"/>
      <c r="E192" s="16"/>
    </row>
    <row r="193" customFormat="false" ht="15" hidden="false" customHeight="false" outlineLevel="0" collapsed="false">
      <c r="A193" s="16"/>
      <c r="B193" s="16"/>
      <c r="C193" s="16"/>
      <c r="D193" s="16"/>
      <c r="E193" s="16"/>
    </row>
    <row r="194" customFormat="false" ht="15" hidden="false" customHeight="false" outlineLevel="0" collapsed="false">
      <c r="A194" s="16"/>
      <c r="B194" s="16"/>
      <c r="C194" s="16"/>
      <c r="D194" s="16"/>
      <c r="E194" s="16"/>
    </row>
    <row r="195" customFormat="false" ht="15" hidden="false" customHeight="false" outlineLevel="0" collapsed="false">
      <c r="A195" s="16"/>
      <c r="B195" s="16"/>
      <c r="C195" s="16"/>
      <c r="D195" s="16"/>
      <c r="E195" s="16"/>
    </row>
    <row r="196" customFormat="false" ht="15" hidden="false" customHeight="false" outlineLevel="0" collapsed="false">
      <c r="A196" s="16"/>
      <c r="B196" s="16"/>
      <c r="C196" s="16"/>
      <c r="D196" s="16"/>
      <c r="E196" s="16"/>
    </row>
    <row r="197" customFormat="false" ht="15" hidden="false" customHeight="false" outlineLevel="0" collapsed="false">
      <c r="A197" s="16"/>
      <c r="B197" s="16"/>
      <c r="C197" s="16"/>
      <c r="D197" s="16"/>
      <c r="E197" s="16"/>
    </row>
    <row r="198" customFormat="false" ht="15" hidden="false" customHeight="false" outlineLevel="0" collapsed="false">
      <c r="A198" s="16"/>
      <c r="B198" s="16"/>
      <c r="C198" s="16"/>
      <c r="D198" s="16"/>
      <c r="E198" s="16"/>
    </row>
    <row r="199" customFormat="false" ht="15" hidden="false" customHeight="false" outlineLevel="0" collapsed="false">
      <c r="A199" s="16"/>
      <c r="B199" s="16"/>
      <c r="C199" s="16"/>
      <c r="D199" s="16"/>
      <c r="E199" s="16"/>
    </row>
    <row r="200" customFormat="false" ht="15" hidden="false" customHeight="false" outlineLevel="0" collapsed="false">
      <c r="A200" s="16"/>
      <c r="B200" s="16"/>
      <c r="C200" s="16"/>
      <c r="D200" s="16"/>
      <c r="E200" s="16"/>
    </row>
    <row r="201" customFormat="false" ht="15" hidden="false" customHeight="false" outlineLevel="0" collapsed="false">
      <c r="A201" s="16"/>
      <c r="B201" s="16"/>
      <c r="C201" s="16"/>
      <c r="D201" s="16"/>
      <c r="E201" s="16"/>
    </row>
    <row r="202" customFormat="false" ht="15" hidden="false" customHeight="false" outlineLevel="0" collapsed="false">
      <c r="A202" s="16"/>
      <c r="B202" s="16"/>
      <c r="C202" s="16"/>
      <c r="D202" s="16"/>
      <c r="E202" s="16"/>
    </row>
    <row r="203" customFormat="false" ht="15" hidden="false" customHeight="false" outlineLevel="0" collapsed="false">
      <c r="A203" s="16"/>
      <c r="B203" s="16"/>
      <c r="C203" s="16"/>
      <c r="D203" s="16"/>
      <c r="E203" s="16"/>
    </row>
    <row r="204" customFormat="false" ht="15" hidden="false" customHeight="false" outlineLevel="0" collapsed="false">
      <c r="A204" s="16"/>
      <c r="B204" s="16"/>
      <c r="C204" s="16"/>
      <c r="D204" s="16"/>
      <c r="E204" s="16"/>
    </row>
    <row r="205" customFormat="false" ht="15" hidden="false" customHeight="false" outlineLevel="0" collapsed="false">
      <c r="A205" s="16"/>
      <c r="B205" s="16"/>
      <c r="C205" s="16"/>
      <c r="D205" s="16"/>
      <c r="E205" s="16"/>
    </row>
  </sheetData>
  <dataValidations count="1">
    <dataValidation allowBlank="true" errorStyle="stop" operator="between" showDropDown="false" showErrorMessage="false" showInputMessage="false" sqref="D6:D1005" type="list">
      <formula1>"2BHK,3BHK"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2026-09-29T12:09:28Z</dcterms:created>
  <dc:creator>openpyxl</dc:creator>
  <dc:description/>
  <dc:language>en-US</dc:language>
  <cp:lastModifiedBy/>
  <dcterms:modified xsi:type="dcterms:W3CDTF">2026-09-29T12:09:28Z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